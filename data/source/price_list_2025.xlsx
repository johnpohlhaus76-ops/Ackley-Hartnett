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X:\R.W. Hartnett Customer Sales Folder (Kyle)\Management\Pricing\"/>
    </mc:Choice>
  </mc:AlternateContent>
  <xr:revisionPtr revIDLastSave="0" documentId="13_ncr:1_{5AEDD545-EF52-466F-98B4-3421EAACF6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quipment Price List" sheetId="1" r:id="rId1"/>
  </sheets>
  <definedNames>
    <definedName name="_xlnm.Print_Area" localSheetId="0">'Equipment Price List'!$B$1:$P$155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Q13" i="1" s="1"/>
  <c r="Q5" i="1"/>
  <c r="N40" i="1"/>
  <c r="L40" i="1"/>
  <c r="J40" i="1"/>
  <c r="H40" i="1"/>
  <c r="F40" i="1"/>
  <c r="H37" i="1"/>
  <c r="F108" i="1"/>
  <c r="F107" i="1"/>
  <c r="F102" i="1"/>
  <c r="F101" i="1"/>
  <c r="F100" i="1"/>
  <c r="F99" i="1"/>
  <c r="F80" i="1"/>
  <c r="F81" i="1"/>
  <c r="F79" i="1"/>
  <c r="F77" i="1"/>
  <c r="N55" i="1"/>
  <c r="L55" i="1"/>
  <c r="J55" i="1"/>
  <c r="H55" i="1"/>
  <c r="F55" i="1"/>
  <c r="N54" i="1"/>
  <c r="L54" i="1"/>
  <c r="J54" i="1"/>
  <c r="H54" i="1"/>
  <c r="F54" i="1"/>
  <c r="N52" i="1"/>
  <c r="L52" i="1"/>
  <c r="J52" i="1"/>
  <c r="H52" i="1"/>
  <c r="F52" i="1"/>
  <c r="N49" i="1"/>
  <c r="L49" i="1"/>
  <c r="J49" i="1"/>
  <c r="H49" i="1"/>
  <c r="F49" i="1"/>
  <c r="N48" i="1"/>
  <c r="L48" i="1"/>
  <c r="J48" i="1"/>
  <c r="H48" i="1"/>
  <c r="F48" i="1"/>
  <c r="N45" i="1"/>
  <c r="L45" i="1"/>
  <c r="J45" i="1"/>
  <c r="H45" i="1"/>
  <c r="F45" i="1"/>
  <c r="N39" i="1"/>
  <c r="L39" i="1"/>
  <c r="J39" i="1"/>
  <c r="H39" i="1"/>
  <c r="N34" i="1"/>
  <c r="L34" i="1"/>
  <c r="J34" i="1"/>
  <c r="H34" i="1"/>
  <c r="F34" i="1"/>
  <c r="H36" i="1"/>
  <c r="F39" i="1"/>
  <c r="N29" i="1"/>
  <c r="L29" i="1"/>
  <c r="J29" i="1"/>
  <c r="H29" i="1"/>
  <c r="F29" i="1"/>
  <c r="N25" i="1"/>
  <c r="L25" i="1"/>
  <c r="J25" i="1"/>
  <c r="H25" i="1"/>
  <c r="F25" i="1"/>
  <c r="N24" i="1"/>
  <c r="L24" i="1"/>
  <c r="J24" i="1"/>
  <c r="H24" i="1"/>
  <c r="F24" i="1"/>
  <c r="H23" i="1"/>
  <c r="N22" i="1"/>
  <c r="L22" i="1"/>
  <c r="J22" i="1"/>
  <c r="H22" i="1"/>
  <c r="F22" i="1"/>
  <c r="Q22" i="1" s="1"/>
  <c r="N16" i="1"/>
  <c r="L16" i="1"/>
  <c r="J16" i="1"/>
  <c r="H16" i="1"/>
  <c r="F16" i="1"/>
  <c r="Q17" i="1" s="1"/>
  <c r="N15" i="1"/>
  <c r="L15" i="1"/>
  <c r="J15" i="1"/>
  <c r="H15" i="1"/>
  <c r="F15" i="1"/>
  <c r="N14" i="1"/>
  <c r="L14" i="1"/>
  <c r="J14" i="1"/>
  <c r="H14" i="1"/>
  <c r="F14" i="1"/>
  <c r="N12" i="1"/>
  <c r="L12" i="1"/>
  <c r="J12" i="1"/>
  <c r="H12" i="1"/>
  <c r="Q10" i="1"/>
  <c r="Q9" i="1" l="1"/>
  <c r="Q6" i="1"/>
  <c r="Q8" i="1"/>
</calcChain>
</file>

<file path=xl/sharedStrings.xml><?xml version="1.0" encoding="utf-8"?>
<sst xmlns="http://schemas.openxmlformats.org/spreadsheetml/2006/main" count="582" uniqueCount="354">
  <si>
    <t>3-Dim / SoftGel</t>
  </si>
  <si>
    <t>Duplicate Set</t>
  </si>
  <si>
    <t>OFFSET ROTOGRAVURE PRINTING SYSTEMS - with Vision Inspection</t>
  </si>
  <si>
    <t>OFFSET ROTOGRAVURE PRINTING SYSTEMS - No Inspection</t>
  </si>
  <si>
    <t>ANCILLARY EQUIPMENT</t>
  </si>
  <si>
    <t>4-Dim / Oval /
Vacuum Hold</t>
  </si>
  <si>
    <t>Not Applicable for Bulk Hopper Feeder</t>
  </si>
  <si>
    <t>Not Applicable for Ink Bottle Mixer</t>
  </si>
  <si>
    <r>
      <t>LASER DRILLING SYSTEMS - 10.6 micron CO</t>
    </r>
    <r>
      <rPr>
        <b/>
        <vertAlign val="subscript"/>
        <sz val="16"/>
        <color theme="1"/>
        <rFont val="Calibri"/>
        <family val="2"/>
        <scheme val="minor"/>
      </rPr>
      <t>2</t>
    </r>
    <r>
      <rPr>
        <b/>
        <sz val="16"/>
        <color theme="1"/>
        <rFont val="Calibri"/>
        <family val="2"/>
        <scheme val="minor"/>
      </rPr>
      <t xml:space="preserve"> Laser</t>
    </r>
  </si>
  <si>
    <r>
      <t>LASER MARKING SYSTEMS - 9.3 micron CO</t>
    </r>
    <r>
      <rPr>
        <b/>
        <vertAlign val="subscript"/>
        <sz val="16"/>
        <color theme="1"/>
        <rFont val="Calibri"/>
        <family val="2"/>
        <scheme val="minor"/>
      </rPr>
      <t>2</t>
    </r>
    <r>
      <rPr>
        <b/>
        <sz val="16"/>
        <color theme="1"/>
        <rFont val="Calibri"/>
        <family val="2"/>
        <scheme val="minor"/>
      </rPr>
      <t xml:space="preserve"> Laser  /  355nm UV Laser</t>
    </r>
  </si>
  <si>
    <t>Not Applicable</t>
  </si>
  <si>
    <t>LASER MAINTENANCE AND CALIBRATION SERVICES (Standard for All Laser Systems):</t>
  </si>
  <si>
    <t>COMMISSIONING, FIELD SERVICE, AND REMOTE ENGINEERING SUPPORT (Standard for all):</t>
  </si>
  <si>
    <t>MISCELLANEOUS CHARGES (Standard for all Orders):</t>
  </si>
  <si>
    <t>Change Parts Pricing</t>
  </si>
  <si>
    <t>Not Applicable for Ink Maintenance System</t>
  </si>
  <si>
    <t>Base Machine Price</t>
  </si>
  <si>
    <t>2% of BG/LC Total</t>
  </si>
  <si>
    <t>14" DESIGN ROLLS, OFFSET ROLLS AND BLADES</t>
  </si>
  <si>
    <t>5" DESIGN ROLLS, OFFSET ROLLS AND BLADES</t>
  </si>
  <si>
    <t>1" DESIGN ROLLS, OFFSET ROLLS AND BLADES</t>
  </si>
  <si>
    <t>LOGO PRINT PROOFS AND LASER / INSPECTION SYSTEM PROGRAMMING</t>
  </si>
  <si>
    <r>
      <rPr>
        <b/>
        <sz val="14"/>
        <color theme="1"/>
        <rFont val="Calibri"/>
        <family val="2"/>
        <scheme val="minor"/>
      </rPr>
      <t>99600-M0TBD - Print Proof</t>
    </r>
    <r>
      <rPr>
        <sz val="14"/>
        <color theme="1"/>
        <rFont val="Calibri"/>
        <family val="2"/>
        <scheme val="minor"/>
      </rPr>
      <t xml:space="preserve"> for Logo Design Approval</t>
    </r>
    <r>
      <rPr>
        <sz val="11"/>
        <color theme="1"/>
        <rFont val="Calibri"/>
        <family val="2"/>
        <scheme val="minor"/>
      </rPr>
      <t xml:space="preserve"> (per logo)</t>
    </r>
  </si>
  <si>
    <t>DOCUMENTATION AND LANGUAGE TRANSLATION OPTIONS (Standard for all Servo/PLC Machines):</t>
  </si>
  <si>
    <r>
      <rPr>
        <b/>
        <sz val="14"/>
        <color theme="1"/>
        <rFont val="Calibri"/>
        <family val="2"/>
        <scheme val="minor"/>
      </rPr>
      <t>Cantilever Ramp UV Laser Marking System</t>
    </r>
    <r>
      <rPr>
        <sz val="11"/>
        <color theme="1"/>
        <rFont val="Calibri"/>
        <family val="2"/>
        <scheme val="minor"/>
      </rPr>
      <t xml:space="preserve">
    One-Side, Two 355nm UV Lasers, 124 Carrier Bars</t>
    </r>
  </si>
  <si>
    <r>
      <t xml:space="preserve">VIP Two-Side UV Laser Marking System
    </t>
    </r>
    <r>
      <rPr>
        <sz val="11"/>
        <color theme="1"/>
        <rFont val="Calibri"/>
        <family val="2"/>
        <scheme val="minor"/>
      </rPr>
      <t>Two-Side, Two 355nm UV Lasers</t>
    </r>
  </si>
  <si>
    <r>
      <rPr>
        <b/>
        <sz val="14"/>
        <color theme="1"/>
        <rFont val="Calibri"/>
        <family val="2"/>
        <scheme val="minor"/>
      </rPr>
      <t>Cantilever Ramp CO2 Laser Marking System</t>
    </r>
    <r>
      <rPr>
        <sz val="11"/>
        <color theme="1"/>
        <rFont val="Calibri"/>
        <family val="2"/>
        <scheme val="minor"/>
      </rPr>
      <t xml:space="preserve">
    One-Side, Two 9.3 micron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Lasers, 124 PET Plastic Carrier Bars</t>
    </r>
  </si>
  <si>
    <r>
      <rPr>
        <b/>
        <sz val="14"/>
        <color theme="1"/>
        <rFont val="Calibri"/>
        <family val="2"/>
        <scheme val="minor"/>
      </rPr>
      <t xml:space="preserve">VIP Two-Side CO2 Laser Marking System
    </t>
    </r>
    <r>
      <rPr>
        <sz val="11"/>
        <color theme="1"/>
        <rFont val="Calibri"/>
        <family val="2"/>
        <scheme val="minor"/>
      </rPr>
      <t>Two-Side, Two 9.3 micron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Lasers</t>
    </r>
  </si>
  <si>
    <r>
      <rPr>
        <b/>
        <sz val="14"/>
        <color theme="1"/>
        <rFont val="Calibri"/>
        <family val="2"/>
        <scheme val="minor"/>
      </rPr>
      <t xml:space="preserve">VIP One-Side UV Laser Marking System
    </t>
    </r>
    <r>
      <rPr>
        <sz val="11"/>
        <color theme="1"/>
        <rFont val="Calibri"/>
        <family val="2"/>
        <scheme val="minor"/>
      </rPr>
      <t>One-Side, One 355nm UV Laser</t>
    </r>
  </si>
  <si>
    <r>
      <rPr>
        <b/>
        <sz val="14"/>
        <color theme="1"/>
        <rFont val="Calibri"/>
        <family val="2"/>
        <scheme val="minor"/>
      </rPr>
      <t xml:space="preserve">VIP One-Side CO2 Laser Marking System
    </t>
    </r>
    <r>
      <rPr>
        <sz val="11"/>
        <color theme="1"/>
        <rFont val="Calibri"/>
        <family val="2"/>
        <scheme val="minor"/>
      </rPr>
      <t>One-Side, One 9.3 micron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Laser</t>
    </r>
  </si>
  <si>
    <r>
      <rPr>
        <b/>
        <sz val="14"/>
        <color theme="1"/>
        <rFont val="Calibri"/>
        <family val="2"/>
        <scheme val="minor"/>
      </rPr>
      <t>R&amp;D Lab Scale UV Laser Marking System</t>
    </r>
    <r>
      <rPr>
        <sz val="11"/>
        <color theme="1"/>
        <rFont val="Calibri"/>
        <family val="2"/>
        <scheme val="minor"/>
      </rPr>
      <t xml:space="preserve">
    One 355nm UV Laser</t>
    </r>
  </si>
  <si>
    <r>
      <rPr>
        <b/>
        <sz val="14"/>
        <color theme="1"/>
        <rFont val="Calibri"/>
        <family val="2"/>
        <scheme val="minor"/>
      </rPr>
      <t xml:space="preserve">R&amp;D Lab Scale CO2 Laser Marking System
    </t>
    </r>
    <r>
      <rPr>
        <sz val="11"/>
        <color theme="1"/>
        <rFont val="Calibri"/>
        <family val="2"/>
        <scheme val="minor"/>
      </rPr>
      <t>One 9.3 micron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Laser</t>
    </r>
  </si>
  <si>
    <r>
      <rPr>
        <b/>
        <sz val="14"/>
        <color theme="1"/>
        <rFont val="Calibri"/>
        <family val="2"/>
        <scheme val="minor"/>
      </rPr>
      <t xml:space="preserve">Standard Variable Ramp Printer
    </t>
    </r>
    <r>
      <rPr>
        <sz val="11"/>
        <color theme="1"/>
        <rFont val="Calibri"/>
        <family val="2"/>
        <scheme val="minor"/>
      </rPr>
      <t>One-Side Pharmaceutical Printer, No Inspection, 163 Carrier Bars</t>
    </r>
  </si>
  <si>
    <r>
      <rPr>
        <b/>
        <sz val="14"/>
        <color theme="1"/>
        <rFont val="Calibri"/>
        <family val="2"/>
        <scheme val="minor"/>
      </rPr>
      <t>Bank Guarantee / Letter of Credit Processing Fee</t>
    </r>
    <r>
      <rPr>
        <sz val="14"/>
        <color theme="1"/>
        <rFont val="Calibri"/>
        <family val="2"/>
        <scheme val="minor"/>
      </rPr>
      <t xml:space="preserve">
    </t>
    </r>
    <r>
      <rPr>
        <sz val="11"/>
        <color theme="1"/>
        <rFont val="Calibri"/>
        <family val="2"/>
        <scheme val="minor"/>
      </rPr>
      <t>Bank and miscellaneous processing fees</t>
    </r>
  </si>
  <si>
    <r>
      <rPr>
        <b/>
        <sz val="14"/>
        <color theme="1"/>
        <rFont val="Calibri"/>
        <family val="2"/>
        <scheme val="minor"/>
      </rPr>
      <t>01293-00092 - 6 hp Vacuum Blower Assembly</t>
    </r>
    <r>
      <rPr>
        <sz val="14"/>
        <color theme="1"/>
        <rFont val="Calibri"/>
        <family val="2"/>
        <scheme val="minor"/>
      </rPr>
      <t xml:space="preserve">
    </t>
    </r>
    <r>
      <rPr>
        <sz val="11"/>
        <color theme="1"/>
        <rFont val="Calibri"/>
        <family val="2"/>
        <scheme val="minor"/>
      </rPr>
      <t>Used for all Variable Ramp Ejection and Servo Drum Printer/Laser Systems</t>
    </r>
  </si>
  <si>
    <t>99246-00097 - Laser Fume Extractor Labyrinth Cloth Replacement Filter</t>
  </si>
  <si>
    <t>99246-00098 - Laser Fume Extractor HEPA Replacement Filter</t>
  </si>
  <si>
    <r>
      <t xml:space="preserve">HMI Login Network Domain Authentication </t>
    </r>
    <r>
      <rPr>
        <sz val="11"/>
        <color theme="1"/>
        <rFont val="Calibri"/>
        <family val="2"/>
        <scheme val="minor"/>
      </rPr>
      <t>using Microsoft Active Directory</t>
    </r>
  </si>
  <si>
    <r>
      <rPr>
        <b/>
        <sz val="14"/>
        <color theme="1"/>
        <rFont val="Calibri"/>
        <family val="2"/>
        <scheme val="minor"/>
      </rPr>
      <t>99499-00097 - Backup Solid State Drive w/ HMI Program</t>
    </r>
    <r>
      <rPr>
        <sz val="11"/>
        <color theme="1"/>
        <rFont val="Calibri"/>
        <family val="2"/>
        <scheme val="minor"/>
      </rPr>
      <t>, 256 GB SSD</t>
    </r>
  </si>
  <si>
    <r>
      <t xml:space="preserve">Servo Variable Ramp Printer with Print Quality Inspection
    </t>
    </r>
    <r>
      <rPr>
        <sz val="11"/>
        <color theme="1"/>
        <rFont val="Calibri"/>
        <family val="2"/>
        <scheme val="minor"/>
      </rPr>
      <t>One-Side Printer with Print Quality Inspection, 183 Bars</t>
    </r>
  </si>
  <si>
    <r>
      <t xml:space="preserve">VIP-X Printer </t>
    </r>
    <r>
      <rPr>
        <sz val="11"/>
        <color theme="1"/>
        <rFont val="Calibri"/>
        <family val="2"/>
        <scheme val="minor"/>
      </rPr>
      <t xml:space="preserve">with </t>
    </r>
    <r>
      <rPr>
        <b/>
        <sz val="14"/>
        <color theme="1"/>
        <rFont val="Calibri"/>
        <family val="2"/>
        <scheme val="minor"/>
      </rPr>
      <t>Two-Side Print Quality Inspection</t>
    </r>
    <r>
      <rPr>
        <sz val="11"/>
        <color theme="1"/>
        <rFont val="Calibri"/>
        <family val="2"/>
        <scheme val="minor"/>
      </rPr>
      <t xml:space="preserve">
    Two Side Printer with Print Quality Inspection</t>
    </r>
  </si>
  <si>
    <r>
      <t xml:space="preserve">VIP-X Printer </t>
    </r>
    <r>
      <rPr>
        <sz val="11"/>
        <color theme="1"/>
        <rFont val="Calibri"/>
        <family val="2"/>
        <scheme val="minor"/>
      </rPr>
      <t xml:space="preserve">with </t>
    </r>
    <r>
      <rPr>
        <b/>
        <sz val="14"/>
        <color theme="1"/>
        <rFont val="Calibri"/>
        <family val="2"/>
        <scheme val="minor"/>
      </rPr>
      <t>One-Side Print Quality Inspection</t>
    </r>
    <r>
      <rPr>
        <sz val="11"/>
        <color theme="1"/>
        <rFont val="Calibri"/>
        <family val="2"/>
        <scheme val="minor"/>
      </rPr>
      <t xml:space="preserve">
    One Side Printer with Print Quality Inspection</t>
    </r>
  </si>
  <si>
    <r>
      <t xml:space="preserve">Servo Drum Two-Side Printer with Print Quality and Color Surface Inspection
    </t>
    </r>
    <r>
      <rPr>
        <sz val="11"/>
        <color theme="1"/>
        <rFont val="Calibri"/>
        <family val="2"/>
        <scheme val="minor"/>
      </rPr>
      <t>Two-Side Printer with Print Quality and Color Surface Inspection, 3 Drums</t>
    </r>
  </si>
  <si>
    <r>
      <rPr>
        <b/>
        <sz val="14"/>
        <color theme="1"/>
        <rFont val="Calibri"/>
        <family val="2"/>
        <scheme val="minor"/>
      </rPr>
      <t xml:space="preserve">VIP Two-Side Laser Drilling System
    </t>
    </r>
    <r>
      <rPr>
        <sz val="11"/>
        <color theme="1"/>
        <rFont val="Calibri"/>
        <family val="2"/>
        <scheme val="minor"/>
      </rPr>
      <t>Two-Side with Color Surface Inspection, Two CO</t>
    </r>
    <r>
      <rPr>
        <sz val="7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Lasers</t>
    </r>
  </si>
  <si>
    <r>
      <rPr>
        <b/>
        <sz val="14"/>
        <color theme="1"/>
        <rFont val="Calibri"/>
        <family val="2"/>
        <scheme val="minor"/>
      </rPr>
      <t>Servo Drum Two-Side Laser Drilling System</t>
    </r>
    <r>
      <rPr>
        <sz val="11"/>
        <color theme="1"/>
        <rFont val="Calibri"/>
        <family val="2"/>
        <scheme val="minor"/>
      </rPr>
      <t xml:space="preserve">
    Two-Side with Color Surface Inspection, Two CO</t>
    </r>
    <r>
      <rPr>
        <sz val="7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Lasers</t>
    </r>
  </si>
  <si>
    <t>BASE MACHINE OPTIONS:</t>
  </si>
  <si>
    <r>
      <rPr>
        <b/>
        <sz val="14"/>
        <color theme="1"/>
        <rFont val="Calibri"/>
        <family val="2"/>
        <scheme val="minor"/>
      </rPr>
      <t xml:space="preserve">95001-01220 - Document Printer, </t>
    </r>
    <r>
      <rPr>
        <sz val="11"/>
        <color theme="1"/>
        <rFont val="Calibri"/>
        <family val="2"/>
        <scheme val="minor"/>
      </rPr>
      <t>USB, Letter size paper, 230 VAC
    Standard for all Servo/PLC machines with Batch Reporting capability</t>
    </r>
  </si>
  <si>
    <r>
      <rPr>
        <b/>
        <sz val="14"/>
        <color theme="1"/>
        <rFont val="Calibri"/>
        <family val="2"/>
        <scheme val="minor"/>
      </rPr>
      <t xml:space="preserve">Hourly Remote Support - </t>
    </r>
    <r>
      <rPr>
        <sz val="11"/>
        <color theme="1"/>
        <rFont val="Calibri"/>
        <family val="2"/>
        <scheme val="minor"/>
      </rPr>
      <t>Each Additional Hour of Remote Service or Phone Support</t>
    </r>
  </si>
  <si>
    <r>
      <rPr>
        <b/>
        <sz val="14"/>
        <color theme="1"/>
        <rFont val="Calibri"/>
        <family val="2"/>
        <scheme val="minor"/>
      </rPr>
      <t>95001-01223 - Remote Support Session -</t>
    </r>
    <r>
      <rPr>
        <sz val="10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connection fee and first hour of service</t>
    </r>
  </si>
  <si>
    <r>
      <t>Hotel and Meals;</t>
    </r>
    <r>
      <rPr>
        <sz val="11"/>
        <color theme="1"/>
        <rFont val="Calibri"/>
        <family val="2"/>
        <scheme val="minor"/>
      </rPr>
      <t xml:space="preserve"> per service engineer, per day on-site</t>
    </r>
  </si>
  <si>
    <r>
      <t xml:space="preserve">Local Transportation and miscellaneous; </t>
    </r>
    <r>
      <rPr>
        <sz val="11"/>
        <color theme="1"/>
        <rFont val="Calibri"/>
        <family val="2"/>
        <scheme val="minor"/>
      </rPr>
      <t>per day on-site</t>
    </r>
  </si>
  <si>
    <r>
      <t xml:space="preserve">Airfare (International and local); </t>
    </r>
    <r>
      <rPr>
        <sz val="11"/>
        <color theme="1"/>
        <rFont val="Calibri"/>
        <family val="2"/>
        <scheme val="minor"/>
      </rPr>
      <t>per service engineer</t>
    </r>
  </si>
  <si>
    <r>
      <t>Local Transportation and miscellaneous;</t>
    </r>
    <r>
      <rPr>
        <sz val="11"/>
        <color theme="1"/>
        <rFont val="Calibri"/>
        <family val="2"/>
        <scheme val="minor"/>
      </rPr>
      <t xml:space="preserve"> per day on-site</t>
    </r>
  </si>
  <si>
    <r>
      <t>Airfare (International and local);</t>
    </r>
    <r>
      <rPr>
        <sz val="11"/>
        <color theme="1"/>
        <rFont val="Calibri"/>
        <family val="2"/>
        <scheme val="minor"/>
      </rPr>
      <t xml:space="preserve"> per service engineer</t>
    </r>
  </si>
  <si>
    <r>
      <t xml:space="preserve">Hotel and Meals; </t>
    </r>
    <r>
      <rPr>
        <sz val="11"/>
        <color theme="1"/>
        <rFont val="Calibri"/>
        <family val="2"/>
        <scheme val="minor"/>
      </rPr>
      <t>per service engineer, per day on-site</t>
    </r>
  </si>
  <si>
    <r>
      <rPr>
        <b/>
        <sz val="14"/>
        <color theme="1"/>
        <rFont val="Calibri"/>
        <family val="2"/>
        <scheme val="minor"/>
      </rPr>
      <t>95001-01193 - OPC-UA Data Communication Gateway</t>
    </r>
    <r>
      <rPr>
        <sz val="11"/>
        <color theme="1"/>
        <rFont val="Calibri"/>
        <family val="2"/>
        <scheme val="minor"/>
      </rPr>
      <t xml:space="preserve"> with List of relavent Data Tags
    available for all Printer / Laser Systems with Vision Inspection</t>
    </r>
  </si>
  <si>
    <r>
      <t xml:space="preserve">North America / Puerto Rico
</t>
    </r>
    <r>
      <rPr>
        <b/>
        <sz val="11"/>
        <color theme="1"/>
        <rFont val="Calibri"/>
        <family val="2"/>
        <scheme val="minor"/>
      </rPr>
      <t xml:space="preserve">    </t>
    </r>
    <r>
      <rPr>
        <sz val="11"/>
        <color theme="1"/>
        <rFont val="Calibri"/>
        <family val="2"/>
        <scheme val="minor"/>
      </rPr>
      <t>Add +2 days for travel time; per service engineer</t>
    </r>
  </si>
  <si>
    <r>
      <t xml:space="preserve">Europe / South America
</t>
    </r>
    <r>
      <rPr>
        <b/>
        <sz val="11"/>
        <color theme="1"/>
        <rFont val="Calibri"/>
        <family val="2"/>
        <scheme val="minor"/>
      </rPr>
      <t xml:space="preserve">    </t>
    </r>
    <r>
      <rPr>
        <sz val="11"/>
        <color theme="1"/>
        <rFont val="Calibri"/>
        <family val="2"/>
        <scheme val="minor"/>
      </rPr>
      <t>Add +2 days for travel time; per service engineer</t>
    </r>
  </si>
  <si>
    <r>
      <t>Asia (India, Bangladesh, China, Taiwan, etc.)</t>
    </r>
    <r>
      <rPr>
        <sz val="14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    Add +3 days for travel time; per service engineer</t>
    </r>
  </si>
  <si>
    <r>
      <t xml:space="preserve">Servo Cantilever Ramp Printer with Print Quality Inspection
    </t>
    </r>
    <r>
      <rPr>
        <sz val="11"/>
        <color theme="1"/>
        <rFont val="Calibri"/>
        <family val="2"/>
        <scheme val="minor"/>
      </rPr>
      <t>One-Side Printer with Print Quality Inspection, 124 Ertalyte PET Plastic Carrier Bars</t>
    </r>
  </si>
  <si>
    <r>
      <t xml:space="preserve">95001-01050 - HMI Screen Text Display Language Translation
</t>
    </r>
    <r>
      <rPr>
        <sz val="11"/>
        <color theme="1"/>
        <rFont val="Calibri"/>
        <family val="2"/>
        <scheme val="minor"/>
      </rPr>
      <t xml:space="preserve">    All Servo Machines, all languages</t>
    </r>
  </si>
  <si>
    <r>
      <t xml:space="preserve">95001-00747 - Operation &amp; Maintenance Manual Language Translation
</t>
    </r>
    <r>
      <rPr>
        <sz val="11"/>
        <color theme="1"/>
        <rFont val="Calibri"/>
        <family val="2"/>
        <scheme val="minor"/>
      </rPr>
      <t xml:space="preserve">    All Servo Machines, all languages</t>
    </r>
  </si>
  <si>
    <r>
      <t xml:space="preserve">99576-00024 - </t>
    </r>
    <r>
      <rPr>
        <b/>
        <sz val="14"/>
        <color theme="1"/>
        <rFont val="Calibri"/>
        <family val="2"/>
        <scheme val="minor"/>
      </rPr>
      <t>Ink Drain Tubing</t>
    </r>
    <r>
      <rPr>
        <sz val="11"/>
        <color theme="1"/>
        <rFont val="Calibri"/>
        <family val="2"/>
        <scheme val="minor"/>
      </rPr>
      <t xml:space="preserve"> (per foot)</t>
    </r>
  </si>
  <si>
    <r>
      <t>99576-00014 -</t>
    </r>
    <r>
      <rPr>
        <b/>
        <sz val="14"/>
        <color theme="1"/>
        <rFont val="Calibri"/>
        <family val="2"/>
        <scheme val="minor"/>
      </rPr>
      <t xml:space="preserve"> Ink Supply Pump Tubing</t>
    </r>
    <r>
      <rPr>
        <sz val="11"/>
        <color theme="1"/>
        <rFont val="Calibri"/>
        <family val="2"/>
        <scheme val="minor"/>
      </rPr>
      <t xml:space="preserve"> (cost per foot, available in 50ft box)</t>
    </r>
  </si>
  <si>
    <r>
      <rPr>
        <b/>
        <sz val="14"/>
        <color theme="1"/>
        <rFont val="Calibri"/>
        <family val="2"/>
        <scheme val="minor"/>
      </rPr>
      <t>99302-M0TBD - Design Roll - 1"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New Rol</t>
    </r>
    <r>
      <rPr>
        <sz val="14"/>
        <color theme="1"/>
        <rFont val="Calibri"/>
        <family val="2"/>
        <scheme val="minor"/>
      </rPr>
      <t>l with Box</t>
    </r>
  </si>
  <si>
    <r>
      <t xml:space="preserve">99302-M0TBD - Design Roll - 1" </t>
    </r>
    <r>
      <rPr>
        <b/>
        <sz val="14"/>
        <color theme="1"/>
        <rFont val="Calibri"/>
        <family val="2"/>
        <scheme val="minor"/>
      </rPr>
      <t>Recovered Roll</t>
    </r>
  </si>
  <si>
    <r>
      <rPr>
        <b/>
        <sz val="14"/>
        <color theme="1"/>
        <rFont val="Calibri"/>
        <family val="2"/>
        <scheme val="minor"/>
      </rPr>
      <t>99630-04TBD - Offset Roll - 1"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Non-Stepped</t>
    </r>
    <r>
      <rPr>
        <sz val="14"/>
        <color theme="1"/>
        <rFont val="Calibri"/>
        <family val="2"/>
        <scheme val="minor"/>
      </rPr>
      <t xml:space="preserve">, </t>
    </r>
    <r>
      <rPr>
        <b/>
        <sz val="14"/>
        <color theme="1"/>
        <rFont val="Calibri"/>
        <family val="2"/>
        <scheme val="minor"/>
      </rPr>
      <t>New Roll</t>
    </r>
    <r>
      <rPr>
        <sz val="14"/>
        <color theme="1"/>
        <rFont val="Calibri"/>
        <family val="2"/>
        <scheme val="minor"/>
      </rPr>
      <t xml:space="preserve"> with Box</t>
    </r>
  </si>
  <si>
    <r>
      <t xml:space="preserve">99630-04TBD - Offset Roll - 1" Non-Stepped, </t>
    </r>
    <r>
      <rPr>
        <b/>
        <sz val="14"/>
        <color theme="1"/>
        <rFont val="Calibri"/>
        <family val="2"/>
        <scheme val="minor"/>
      </rPr>
      <t>Recovered Roll</t>
    </r>
  </si>
  <si>
    <r>
      <rPr>
        <b/>
        <sz val="14"/>
        <color theme="1"/>
        <rFont val="Calibri"/>
        <family val="2"/>
        <scheme val="minor"/>
      </rPr>
      <t>99630-03TBD - Offset Roll - 1" Stepped</t>
    </r>
    <r>
      <rPr>
        <sz val="14"/>
        <color theme="1"/>
        <rFont val="Calibri"/>
        <family val="2"/>
        <scheme val="minor"/>
      </rPr>
      <t xml:space="preserve">, </t>
    </r>
    <r>
      <rPr>
        <b/>
        <sz val="14"/>
        <color theme="1"/>
        <rFont val="Calibri"/>
        <family val="2"/>
        <scheme val="minor"/>
      </rPr>
      <t>New Roll</t>
    </r>
    <r>
      <rPr>
        <sz val="14"/>
        <color theme="1"/>
        <rFont val="Calibri"/>
        <family val="2"/>
        <scheme val="minor"/>
      </rPr>
      <t xml:space="preserve"> with Box</t>
    </r>
  </si>
  <si>
    <r>
      <t xml:space="preserve">99630-03TBD - Offset Roll - 1" Stepped, </t>
    </r>
    <r>
      <rPr>
        <b/>
        <sz val="14"/>
        <color theme="1"/>
        <rFont val="Calibri"/>
        <family val="2"/>
        <scheme val="minor"/>
      </rPr>
      <t>Recovered Roll</t>
    </r>
  </si>
  <si>
    <r>
      <rPr>
        <b/>
        <sz val="14"/>
        <color theme="1"/>
        <rFont val="Calibri"/>
        <family val="2"/>
        <scheme val="minor"/>
      </rPr>
      <t>99305-M0TBD - Design Roll - 5"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New Roll</t>
    </r>
    <r>
      <rPr>
        <sz val="14"/>
        <color theme="1"/>
        <rFont val="Calibri"/>
        <family val="2"/>
        <scheme val="minor"/>
      </rPr>
      <t xml:space="preserve"> with Box</t>
    </r>
  </si>
  <si>
    <r>
      <t xml:space="preserve">99305-M0TBD - Design Roll - 5" </t>
    </r>
    <r>
      <rPr>
        <b/>
        <sz val="14"/>
        <color theme="1"/>
        <rFont val="Calibri"/>
        <family val="2"/>
        <scheme val="minor"/>
      </rPr>
      <t>Recovered Roll</t>
    </r>
  </si>
  <si>
    <r>
      <rPr>
        <b/>
        <sz val="14"/>
        <color theme="1"/>
        <rFont val="Calibri"/>
        <family val="2"/>
        <scheme val="minor"/>
      </rPr>
      <t>99630-02TBD - Offset Roll - 5"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 xml:space="preserve">New Roll </t>
    </r>
    <r>
      <rPr>
        <sz val="14"/>
        <color theme="1"/>
        <rFont val="Calibri"/>
        <family val="2"/>
        <scheme val="minor"/>
      </rPr>
      <t>with Box</t>
    </r>
  </si>
  <si>
    <r>
      <t xml:space="preserve">99630-02TBD - Offset Roll - 5" </t>
    </r>
    <r>
      <rPr>
        <b/>
        <sz val="14"/>
        <color theme="1"/>
        <rFont val="Calibri"/>
        <family val="2"/>
        <scheme val="minor"/>
      </rPr>
      <t>Recovered Roll</t>
    </r>
  </si>
  <si>
    <r>
      <rPr>
        <b/>
        <sz val="14"/>
        <color theme="1"/>
        <rFont val="Calibri"/>
        <family val="2"/>
        <scheme val="minor"/>
      </rPr>
      <t>99314-M0TBD - Design Roll - 14"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New Roll</t>
    </r>
    <r>
      <rPr>
        <sz val="14"/>
        <color theme="1"/>
        <rFont val="Calibri"/>
        <family val="2"/>
        <scheme val="minor"/>
      </rPr>
      <t xml:space="preserve"> with Box</t>
    </r>
  </si>
  <si>
    <r>
      <t xml:space="preserve">99314-M0TBD - Design Roll - 14" </t>
    </r>
    <r>
      <rPr>
        <b/>
        <sz val="14"/>
        <color theme="1"/>
        <rFont val="Calibri"/>
        <family val="2"/>
        <scheme val="minor"/>
      </rPr>
      <t>Recovered Roll</t>
    </r>
  </si>
  <si>
    <r>
      <rPr>
        <b/>
        <sz val="14"/>
        <color theme="1"/>
        <rFont val="Calibri"/>
        <family val="2"/>
        <scheme val="minor"/>
      </rPr>
      <t>99630-00TBD - Offset Roll - 14"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New Roll</t>
    </r>
    <r>
      <rPr>
        <sz val="14"/>
        <color theme="1"/>
        <rFont val="Calibri"/>
        <family val="2"/>
        <scheme val="minor"/>
      </rPr>
      <t xml:space="preserve"> with Box</t>
    </r>
  </si>
  <si>
    <r>
      <t xml:space="preserve">99630-00TBD - Offset Roll - 14" </t>
    </r>
    <r>
      <rPr>
        <b/>
        <sz val="14"/>
        <color theme="1"/>
        <rFont val="Calibri"/>
        <family val="2"/>
        <scheme val="minor"/>
      </rPr>
      <t>Recovered Roll</t>
    </r>
  </si>
  <si>
    <r>
      <rPr>
        <b/>
        <sz val="14"/>
        <color theme="1"/>
        <rFont val="Calibri"/>
        <family val="2"/>
        <scheme val="minor"/>
      </rPr>
      <t xml:space="preserve">99246-00118 - Laser Power Sensor Re-Calibration </t>
    </r>
    <r>
      <rPr>
        <sz val="14"/>
        <color theme="1"/>
        <rFont val="Calibri"/>
        <family val="2"/>
        <scheme val="minor"/>
      </rPr>
      <t>with Certificate,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per sensor</t>
    </r>
  </si>
  <si>
    <r>
      <rPr>
        <b/>
        <sz val="14"/>
        <color theme="1"/>
        <rFont val="Calibri"/>
        <family val="2"/>
        <scheme val="minor"/>
      </rPr>
      <t>99246-00119 - Laser CO</t>
    </r>
    <r>
      <rPr>
        <b/>
        <sz val="11"/>
        <color theme="1"/>
        <rFont val="Calibri"/>
        <family val="2"/>
        <scheme val="minor"/>
      </rPr>
      <t>2</t>
    </r>
    <r>
      <rPr>
        <b/>
        <sz val="14"/>
        <color theme="1"/>
        <rFont val="Calibri"/>
        <family val="2"/>
        <scheme val="minor"/>
      </rPr>
      <t xml:space="preserve"> Gas Recharge </t>
    </r>
    <r>
      <rPr>
        <sz val="14"/>
        <color theme="1"/>
        <rFont val="Calibri"/>
        <family val="2"/>
        <scheme val="minor"/>
      </rPr>
      <t>&amp; Reconditioning,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per laser</t>
    </r>
  </si>
  <si>
    <t>Travel Region:</t>
  </si>
  <si>
    <t>Oval Shaped Products</t>
  </si>
  <si>
    <t>LCT Shaped Products</t>
  </si>
  <si>
    <t>2-Dim Round Products</t>
  </si>
  <si>
    <t>2-Dim Round / LCT Products</t>
  </si>
  <si>
    <r>
      <t xml:space="preserve">Variable Ramp CO2 Laser Marking System
    </t>
    </r>
    <r>
      <rPr>
        <sz val="11"/>
        <color theme="1"/>
        <rFont val="Calibri"/>
        <family val="2"/>
        <scheme val="minor"/>
      </rPr>
      <t>One-Side, Four 9.3 micron CO</t>
    </r>
    <r>
      <rPr>
        <sz val="7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Lasers, Ertalyte PET Plastic Carrier Bars w/ Stiffener</t>
    </r>
  </si>
  <si>
    <t>Base Machine Description:</t>
  </si>
  <si>
    <t>4-Dim /
Oval Shaped</t>
  </si>
  <si>
    <r>
      <rPr>
        <b/>
        <sz val="14"/>
        <color theme="1"/>
        <rFont val="Calibri"/>
        <family val="2"/>
        <scheme val="minor"/>
      </rPr>
      <t>99135-00001 - Doctor Blade, 16.0"</t>
    </r>
    <r>
      <rPr>
        <sz val="14"/>
        <color theme="1"/>
        <rFont val="Calibri"/>
        <family val="2"/>
        <scheme val="minor"/>
      </rPr>
      <t xml:space="preserve"> AARP / Flat Bed Printer
    </t>
    </r>
    <r>
      <rPr>
        <sz val="11"/>
        <color theme="1"/>
        <rFont val="Calibri"/>
        <family val="2"/>
        <scheme val="minor"/>
      </rPr>
      <t>(Standard quote quantity: 200 ea.)</t>
    </r>
  </si>
  <si>
    <r>
      <rPr>
        <b/>
        <sz val="14"/>
        <color theme="1"/>
        <rFont val="Calibri"/>
        <family val="2"/>
        <scheme val="minor"/>
      </rPr>
      <t>99135-00003 - Backup Blade, 16.0"</t>
    </r>
    <r>
      <rPr>
        <sz val="14"/>
        <color theme="1"/>
        <rFont val="Calibri"/>
        <family val="2"/>
        <scheme val="minor"/>
      </rPr>
      <t xml:space="preserve"> AARP / Flat Bed Printer
    </t>
    </r>
    <r>
      <rPr>
        <sz val="11"/>
        <color theme="1"/>
        <rFont val="Calibri"/>
        <family val="2"/>
        <scheme val="minor"/>
      </rPr>
      <t>(Standard quote quantity: 50 ea.)</t>
    </r>
  </si>
  <si>
    <r>
      <rPr>
        <b/>
        <sz val="14"/>
        <color theme="1"/>
        <rFont val="Calibri"/>
        <family val="2"/>
        <scheme val="minor"/>
      </rPr>
      <t>99135-00006 - Doctor Blade, 6.25"</t>
    </r>
    <r>
      <rPr>
        <sz val="14"/>
        <color theme="1"/>
        <rFont val="Calibri"/>
        <family val="2"/>
        <scheme val="minor"/>
      </rPr>
      <t xml:space="preserve"> Ctlvr. Ramp / Drum Printer
    </t>
    </r>
    <r>
      <rPr>
        <sz val="11"/>
        <color theme="1"/>
        <rFont val="Calibri"/>
        <family val="2"/>
        <scheme val="minor"/>
      </rPr>
      <t>(Standard quote quantity: 200 ea.)</t>
    </r>
  </si>
  <si>
    <r>
      <rPr>
        <b/>
        <sz val="14"/>
        <color theme="1"/>
        <rFont val="Calibri"/>
        <family val="2"/>
        <scheme val="minor"/>
      </rPr>
      <t>99135-00009 - Backup Blade, 6.25"</t>
    </r>
    <r>
      <rPr>
        <sz val="14"/>
        <color theme="1"/>
        <rFont val="Calibri"/>
        <family val="2"/>
        <scheme val="minor"/>
      </rPr>
      <t xml:space="preserve"> Ctlvr. Ramp / Drum Printer
    </t>
    </r>
    <r>
      <rPr>
        <sz val="11"/>
        <color theme="1"/>
        <rFont val="Calibri"/>
        <family val="2"/>
        <scheme val="minor"/>
      </rPr>
      <t>(Standard quote quantity: 50 ea.)</t>
    </r>
  </si>
  <si>
    <r>
      <rPr>
        <b/>
        <sz val="14"/>
        <color theme="1"/>
        <rFont val="Calibri"/>
        <family val="2"/>
        <scheme val="minor"/>
      </rPr>
      <t>99135-00029 - Doctor Blade, 1.63"</t>
    </r>
    <r>
      <rPr>
        <sz val="14"/>
        <color theme="1"/>
        <rFont val="Calibri"/>
        <family val="2"/>
        <scheme val="minor"/>
      </rPr>
      <t xml:space="preserve"> Pre-Honed VIP Printer
    </t>
    </r>
    <r>
      <rPr>
        <sz val="11"/>
        <color theme="1"/>
        <rFont val="Calibri"/>
        <family val="2"/>
        <scheme val="minor"/>
      </rPr>
      <t>(Standard quote quantity: 200 ea.)</t>
    </r>
  </si>
  <si>
    <r>
      <rPr>
        <b/>
        <sz val="14"/>
        <color theme="1"/>
        <rFont val="Calibri"/>
        <family val="2"/>
        <scheme val="minor"/>
      </rPr>
      <t>99135-00024 - Backup Blade, 1.63"</t>
    </r>
    <r>
      <rPr>
        <sz val="14"/>
        <color theme="1"/>
        <rFont val="Calibri"/>
        <family val="2"/>
        <scheme val="minor"/>
      </rPr>
      <t xml:space="preserve"> VIP Printer
    </t>
    </r>
    <r>
      <rPr>
        <sz val="11"/>
        <color theme="1"/>
        <rFont val="Calibri"/>
        <family val="2"/>
        <scheme val="minor"/>
      </rPr>
      <t>(Standard quote quantity: 50 ea.)</t>
    </r>
  </si>
  <si>
    <r>
      <t>Three Phase Step-Down Power Transformer, 6 kVA Rating</t>
    </r>
    <r>
      <rPr>
        <sz val="11"/>
        <color theme="1"/>
        <rFont val="Calibri"/>
        <family val="2"/>
        <scheme val="minor"/>
      </rPr>
      <t xml:space="preserve">
    (230VAC Output - ref. 99241-00488)</t>
    </r>
  </si>
  <si>
    <r>
      <t>Single Phase Step-Down Power Transformer, 3 kVA Rating</t>
    </r>
    <r>
      <rPr>
        <sz val="11"/>
        <color theme="1"/>
        <rFont val="Calibri"/>
        <family val="2"/>
        <scheme val="minor"/>
      </rPr>
      <t xml:space="preserve">
    (230VAC Output - ref. 99241-00546)</t>
    </r>
  </si>
  <si>
    <r>
      <t>01513 - Cantilever Ramp Eject Drum and Vacuum Shoe Assembly</t>
    </r>
    <r>
      <rPr>
        <sz val="11"/>
        <color theme="1"/>
        <rFont val="Calibri"/>
        <family val="2"/>
        <scheme val="minor"/>
      </rPr>
      <t xml:space="preserve">
    Matched Pair - ref. 01513-00298</t>
    </r>
  </si>
  <si>
    <r>
      <t>01493 - Variable Ramp Eject Drum and Vacuum Shoe Assembly</t>
    </r>
    <r>
      <rPr>
        <sz val="11"/>
        <color theme="1"/>
        <rFont val="Calibri"/>
        <family val="2"/>
        <scheme val="minor"/>
      </rPr>
      <t xml:space="preserve">
    Matched Pair - ref. 05023-00031</t>
    </r>
  </si>
  <si>
    <r>
      <rPr>
        <b/>
        <sz val="14"/>
        <color theme="1"/>
        <rFont val="Calibri"/>
        <family val="2"/>
        <scheme val="minor"/>
      </rPr>
      <t xml:space="preserve">95001-01127 - Laser </t>
    </r>
    <r>
      <rPr>
        <b/>
        <u/>
        <sz val="14"/>
        <color theme="1"/>
        <rFont val="Calibri"/>
        <family val="2"/>
        <scheme val="minor"/>
      </rPr>
      <t>and</t>
    </r>
    <r>
      <rPr>
        <b/>
        <sz val="14"/>
        <color theme="1"/>
        <rFont val="Calibri"/>
        <family val="2"/>
        <scheme val="minor"/>
      </rPr>
      <t xml:space="preserve"> Vision Programming</t>
    </r>
    <r>
      <rPr>
        <sz val="14"/>
        <color theme="1"/>
        <rFont val="Calibri"/>
        <family val="2"/>
        <scheme val="minor"/>
      </rPr>
      <t xml:space="preserve"> for </t>
    </r>
    <r>
      <rPr>
        <b/>
        <sz val="14"/>
        <color theme="1"/>
        <rFont val="Calibri"/>
        <family val="2"/>
        <scheme val="minor"/>
      </rPr>
      <t>Laser Marked Logo</t>
    </r>
    <r>
      <rPr>
        <sz val="11"/>
        <color theme="1"/>
        <rFont val="Calibri"/>
        <family val="2"/>
        <scheme val="minor"/>
      </rPr>
      <t xml:space="preserve">
    (per logo)</t>
    </r>
  </si>
  <si>
    <r>
      <rPr>
        <b/>
        <sz val="14"/>
        <color theme="1"/>
        <rFont val="Calibri"/>
        <family val="2"/>
        <scheme val="minor"/>
      </rPr>
      <t>95001-00894 - Inspection Programming</t>
    </r>
    <r>
      <rPr>
        <sz val="14"/>
        <color theme="1"/>
        <rFont val="Calibri"/>
        <family val="2"/>
        <scheme val="minor"/>
      </rPr>
      <t xml:space="preserve"> for </t>
    </r>
    <r>
      <rPr>
        <b/>
        <sz val="14"/>
        <color theme="1"/>
        <rFont val="Calibri"/>
        <family val="2"/>
        <scheme val="minor"/>
      </rPr>
      <t>Printing Defects</t>
    </r>
    <r>
      <rPr>
        <sz val="11"/>
        <color theme="1"/>
        <rFont val="Calibri"/>
        <family val="2"/>
        <scheme val="minor"/>
      </rPr>
      <t xml:space="preserve">
    (per product)</t>
    </r>
  </si>
  <si>
    <r>
      <rPr>
        <b/>
        <sz val="14"/>
        <color theme="1"/>
        <rFont val="Calibri"/>
        <family val="2"/>
        <scheme val="minor"/>
      </rPr>
      <t>95001-01170 - Programming</t>
    </r>
    <r>
      <rPr>
        <sz val="14"/>
        <color theme="1"/>
        <rFont val="Calibri"/>
        <family val="2"/>
        <scheme val="minor"/>
      </rPr>
      <t xml:space="preserve"> for </t>
    </r>
    <r>
      <rPr>
        <b/>
        <sz val="14"/>
        <color theme="1"/>
        <rFont val="Calibri"/>
        <family val="2"/>
        <scheme val="minor"/>
      </rPr>
      <t>Color Detection</t>
    </r>
    <r>
      <rPr>
        <sz val="14"/>
        <color theme="1"/>
        <rFont val="Calibri"/>
        <family val="2"/>
        <scheme val="minor"/>
      </rPr>
      <t xml:space="preserve"> and </t>
    </r>
    <r>
      <rPr>
        <b/>
        <sz val="14"/>
        <color theme="1"/>
        <rFont val="Calibri"/>
        <family val="2"/>
        <scheme val="minor"/>
      </rPr>
      <t>Drilled Hole Inspection</t>
    </r>
    <r>
      <rPr>
        <sz val="14"/>
        <color theme="1"/>
        <rFont val="Calibri"/>
        <family val="2"/>
        <scheme val="minor"/>
      </rPr>
      <t xml:space="preserve">
    </t>
    </r>
    <r>
      <rPr>
        <sz val="11"/>
        <color theme="1"/>
        <rFont val="Calibri"/>
        <family val="2"/>
        <scheme val="minor"/>
      </rPr>
      <t>(per product - same price for VIP and Drum Lasers)</t>
    </r>
  </si>
  <si>
    <r>
      <rPr>
        <u/>
        <sz val="11"/>
        <color theme="1"/>
        <rFont val="Calibri"/>
        <family val="2"/>
        <scheme val="minor"/>
      </rPr>
      <t>Maximum</t>
    </r>
    <r>
      <rPr>
        <sz val="11"/>
        <color theme="1"/>
        <rFont val="Calibri"/>
        <family val="2"/>
        <scheme val="minor"/>
      </rPr>
      <t xml:space="preserve"> Hourly Throughput</t>
    </r>
  </si>
  <si>
    <r>
      <t xml:space="preserve">Approx. 5,000
</t>
    </r>
    <r>
      <rPr>
        <sz val="11"/>
        <color theme="1"/>
        <rFont val="Calibri"/>
        <family val="2"/>
        <scheme val="minor"/>
      </rPr>
      <t>Manual Feed</t>
    </r>
  </si>
  <si>
    <r>
      <rPr>
        <b/>
        <sz val="14"/>
        <color theme="1"/>
        <rFont val="Calibri"/>
        <family val="2"/>
        <scheme val="minor"/>
      </rPr>
      <t>VIP-6S Printer</t>
    </r>
    <r>
      <rPr>
        <sz val="11"/>
        <color theme="1"/>
        <rFont val="Calibri"/>
        <family val="2"/>
        <scheme val="minor"/>
      </rPr>
      <t xml:space="preserve">
    Two-Side Pharmaceutical Printer, New Design for 2022 - Full Servo, No Inspection</t>
    </r>
  </si>
  <si>
    <r>
      <t xml:space="preserve">Servo Cantilever Ramp Printer
    </t>
    </r>
    <r>
      <rPr>
        <sz val="11"/>
        <color theme="1"/>
        <rFont val="Calibri"/>
        <family val="2"/>
        <scheme val="minor"/>
      </rPr>
      <t>One-Side Pharmaceutical Printer, No Inspection, 124 Carrier Bars</t>
    </r>
  </si>
  <si>
    <t>Machine Crating</t>
  </si>
  <si>
    <t>CP Crating</t>
  </si>
  <si>
    <t>1 Set $ 1,400         2 Sets $ 1,600</t>
  </si>
  <si>
    <t>NA</t>
  </si>
  <si>
    <t>$ 760 Each</t>
  </si>
  <si>
    <r>
      <t xml:space="preserve">Servo Variable Ramp Printer
    </t>
    </r>
    <r>
      <rPr>
        <sz val="11"/>
        <color theme="1"/>
        <rFont val="Calibri"/>
        <family val="2"/>
        <scheme val="minor"/>
      </rPr>
      <t>One-Side Pharmaceutical Printer, No Inspection, 183 Carrier Bars</t>
    </r>
  </si>
  <si>
    <t>See Syteline for Current  Pricing</t>
  </si>
  <si>
    <t>See Syteline</t>
  </si>
  <si>
    <r>
      <rPr>
        <b/>
        <sz val="14"/>
        <color theme="1"/>
        <rFont val="Calibri"/>
        <family val="2"/>
        <scheme val="minor"/>
      </rPr>
      <t xml:space="preserve">Servo Drum Two-Side Printer
    </t>
    </r>
    <r>
      <rPr>
        <sz val="11"/>
        <color theme="1"/>
        <rFont val="Calibri"/>
        <family val="2"/>
        <scheme val="minor"/>
      </rPr>
      <t>Two-Side Pharmaceutical Printer, With Inspection, 3 Drums</t>
    </r>
  </si>
  <si>
    <t>Delta Ink Printer</t>
  </si>
  <si>
    <t>GPS Rotogravure Ink Printer</t>
  </si>
  <si>
    <t>Model C Ink Printer</t>
  </si>
  <si>
    <t>H Track Ink Printing Machine</t>
  </si>
  <si>
    <t>IBM Ink Printing Machine with One Side Print Quality Inspection</t>
  </si>
  <si>
    <t>Delta Ink Printer with Two Side Print Quality Inspection</t>
  </si>
  <si>
    <t>GPS Rotogravure with Two Side Inspection</t>
  </si>
  <si>
    <t>Delta CO2 Laser Drill</t>
  </si>
  <si>
    <t>IBM Co2 Laser marker</t>
  </si>
  <si>
    <t>H Track C02 Laser Marker</t>
  </si>
  <si>
    <t>Ackley Hartnett 2025 Master Price List  (01-January-2025) Includes 10% Rep Comission</t>
  </si>
  <si>
    <t>Hartnett Co2 Lab Laser Drill</t>
  </si>
  <si>
    <t>IBM UV laser Writer</t>
  </si>
  <si>
    <t>Delta Two Side CO2 Laser Writer</t>
  </si>
  <si>
    <t>Delta Two Side UV laser Writer</t>
  </si>
  <si>
    <t>Delta Two Side Combo Laser Writer and Ink Printer</t>
  </si>
  <si>
    <t>Ackley Ink Viscosity Control System</t>
  </si>
  <si>
    <t>Difference in Price similar machines</t>
  </si>
  <si>
    <t>Hartnett Ink Viscosity System</t>
  </si>
  <si>
    <t>Ackley Bulk Hopper Vibratory Feeder / Tote Stand Feeder</t>
  </si>
  <si>
    <t>Hartnett Bulk Elevator</t>
  </si>
  <si>
    <t>Hartnett Rubber Roll Cleaning System</t>
  </si>
  <si>
    <r>
      <t xml:space="preserve">Ackley Sorter - Half Width
</t>
    </r>
    <r>
      <rPr>
        <sz val="11"/>
        <color theme="1"/>
        <rFont val="Calibri"/>
        <family val="2"/>
        <scheme val="minor"/>
      </rPr>
      <t xml:space="preserve">  Standard Height (Printer Discharge) or Raised Height (Printer Infeed) Available</t>
    </r>
  </si>
  <si>
    <t>Ackley Orbital-Motion Ink Bottle Mixer</t>
  </si>
  <si>
    <r>
      <t xml:space="preserve">Ackley Sorter - Full Width
</t>
    </r>
    <r>
      <rPr>
        <sz val="11"/>
        <color theme="1"/>
        <rFont val="Calibri"/>
        <family val="2"/>
        <scheme val="minor"/>
      </rPr>
      <t xml:space="preserve">  Standard Height (Printer Discharge) or Raised Height (Printer Infeed) Available</t>
    </r>
  </si>
  <si>
    <r>
      <t xml:space="preserve">Ackley Sorter - Full Width with Twin Removal
</t>
    </r>
    <r>
      <rPr>
        <b/>
        <sz val="11"/>
        <color theme="1"/>
        <rFont val="Calibri"/>
        <family val="2"/>
        <scheme val="minor"/>
      </rPr>
      <t xml:space="preserve">  Standard Height (Printer Discharge) or Raised Height (Printer Infeed) Available</t>
    </r>
  </si>
  <si>
    <r>
      <t xml:space="preserve">Ackley Sorter - Half Width with Twin Removal
</t>
    </r>
    <r>
      <rPr>
        <b/>
        <sz val="11"/>
        <color theme="1"/>
        <rFont val="Calibri"/>
        <family val="2"/>
        <scheme val="minor"/>
      </rPr>
      <t xml:space="preserve">  Standard Height (Printer Discharge) or Raised Height (Printer Infeed) Available</t>
    </r>
  </si>
  <si>
    <t>Hartnett Delta Bulk Conveyor</t>
  </si>
  <si>
    <t>Hartnett Design Roll H Track</t>
  </si>
  <si>
    <t>Hartnett Design Qualification</t>
  </si>
  <si>
    <t>Hartnett Performance Qualification PQ</t>
  </si>
  <si>
    <t>PART NUMBER</t>
  </si>
  <si>
    <t>07321-10TBD</t>
  </si>
  <si>
    <r>
      <rPr>
        <b/>
        <sz val="14"/>
        <color theme="1"/>
        <rFont val="Calibri"/>
        <family val="2"/>
        <scheme val="minor"/>
      </rPr>
      <t>30 Degree Fixed Angle Ramp Printer</t>
    </r>
    <r>
      <rPr>
        <sz val="11"/>
        <color theme="1"/>
        <rFont val="Calibri"/>
        <family val="2"/>
        <scheme val="minor"/>
      </rPr>
      <t xml:space="preserve">
    One-Side Confectionery Printer, 30 Degree FARP, 122 Carrier Bars</t>
    </r>
  </si>
  <si>
    <t>15 Degree Fixed Angle Ramp Printer
    One-Side Confectionery Printer, 30 Degree FARP, 122 Carrier Bars</t>
  </si>
  <si>
    <r>
      <t xml:space="preserve">Adjustable Angle Ramp Feed Printer
    </t>
    </r>
    <r>
      <rPr>
        <b/>
        <sz val="11"/>
        <color theme="1"/>
        <rFont val="Calibri"/>
        <family val="2"/>
        <scheme val="minor"/>
      </rPr>
      <t>One-Side Confectionery Printer, Utility Model, 163 Carrier Bars</t>
    </r>
  </si>
  <si>
    <t>01461-10TBD</t>
  </si>
  <si>
    <t>01461-20TBD</t>
  </si>
  <si>
    <t>PART NUMBER 3D</t>
  </si>
  <si>
    <t>Part Number 2D</t>
  </si>
  <si>
    <t>Part Number Dup</t>
  </si>
  <si>
    <t>01481-10TBD</t>
  </si>
  <si>
    <t>01481-20TBD</t>
  </si>
  <si>
    <t>01491-10TBD</t>
  </si>
  <si>
    <t>07421-10TBD</t>
  </si>
  <si>
    <t>01511-10TBD</t>
  </si>
  <si>
    <t>07221-10TBD</t>
  </si>
  <si>
    <t>07121-10TBD</t>
  </si>
  <si>
    <t>01911-10TBD</t>
  </si>
  <si>
    <t>01491-20TBD</t>
  </si>
  <si>
    <t>BASE MACHINE NUMBER HARTNETT</t>
  </si>
  <si>
    <t>01511-20TBD</t>
  </si>
  <si>
    <t>01513-00407</t>
  </si>
  <si>
    <t>Price Option</t>
  </si>
  <si>
    <t>01291-10TBD</t>
  </si>
  <si>
    <t>01291-20TBD</t>
  </si>
  <si>
    <t>01911-20TBD</t>
  </si>
  <si>
    <t>01911-30TBD</t>
  </si>
  <si>
    <t>Color Option Inspection</t>
  </si>
  <si>
    <t>01291-30TBD</t>
  </si>
  <si>
    <t>01741-10TBD</t>
  </si>
  <si>
    <t>01921-10TBD</t>
  </si>
  <si>
    <t>01811-10TBD</t>
  </si>
  <si>
    <r>
      <rPr>
        <b/>
        <sz val="14"/>
        <color theme="1"/>
        <rFont val="Calibri"/>
        <family val="2"/>
        <scheme val="minor"/>
      </rPr>
      <t>R&amp;D Lab Scale Laser Drilling System</t>
    </r>
    <r>
      <rPr>
        <sz val="10"/>
        <color theme="1"/>
        <rFont val="Calibri"/>
        <family val="2"/>
        <scheme val="minor"/>
      </rPr>
      <t xml:space="preserve">
    </t>
    </r>
    <r>
      <rPr>
        <sz val="11"/>
        <color theme="1"/>
        <rFont val="Calibri"/>
        <family val="2"/>
        <scheme val="minor"/>
      </rPr>
      <t>One 10.6 micron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Laser 100 Watt C02 Laser</t>
    </r>
  </si>
  <si>
    <t>01811-20TBD</t>
  </si>
  <si>
    <r>
      <rPr>
        <b/>
        <sz val="14"/>
        <color theme="1"/>
        <rFont val="Calibri"/>
        <family val="2"/>
        <scheme val="minor"/>
      </rPr>
      <t>R&amp;D Lab Scale Laser Drilling System</t>
    </r>
    <r>
      <rPr>
        <sz val="10"/>
        <color theme="1"/>
        <rFont val="Calibri"/>
        <family val="2"/>
        <scheme val="minor"/>
      </rPr>
      <t xml:space="preserve">
    </t>
    </r>
    <r>
      <rPr>
        <sz val="11"/>
        <color theme="1"/>
        <rFont val="Calibri"/>
        <family val="2"/>
        <scheme val="minor"/>
      </rPr>
      <t>One 10.6 micron 15 Watt UV Laser</t>
    </r>
  </si>
  <si>
    <t>Hartnett Co2 Lab Laser Writer</t>
  </si>
  <si>
    <t>07521-10TBD</t>
  </si>
  <si>
    <t>07521-20TBD</t>
  </si>
  <si>
    <t>01491-30TBD</t>
  </si>
  <si>
    <t>01521-10TBD</t>
  </si>
  <si>
    <t>01521-20TBD</t>
  </si>
  <si>
    <t>01921-20TBD</t>
  </si>
  <si>
    <t>01921-30TBD</t>
  </si>
  <si>
    <t>?</t>
  </si>
  <si>
    <t>07331-10TBD</t>
  </si>
  <si>
    <t>07331-20TBD</t>
  </si>
  <si>
    <t>07131-10TBD</t>
  </si>
  <si>
    <t>0713-20TBD</t>
  </si>
  <si>
    <t>07151-10TBD</t>
  </si>
  <si>
    <t>Part Number 4D/Special</t>
  </si>
  <si>
    <t>07422-10TBD</t>
  </si>
  <si>
    <t>04162-12TBD</t>
  </si>
  <si>
    <t>01462-13TBD</t>
  </si>
  <si>
    <t>01462-14TBD</t>
  </si>
  <si>
    <t>01462-10DUP</t>
  </si>
  <si>
    <t>01482-12TBD</t>
  </si>
  <si>
    <t>01482-13TBD</t>
  </si>
  <si>
    <t>01482-14TBD</t>
  </si>
  <si>
    <t>01482-10DUP</t>
  </si>
  <si>
    <t>01482-22TBD</t>
  </si>
  <si>
    <t>01482-23TBD</t>
  </si>
  <si>
    <t>01482-24TBD</t>
  </si>
  <si>
    <t>01482-20DUP</t>
  </si>
  <si>
    <t>Cantilever Drum Printer My M&amp;M Confectionary</t>
  </si>
  <si>
    <t>01261-10TBD</t>
  </si>
  <si>
    <t>01262-10TBD</t>
  </si>
  <si>
    <t>01492-12TBD</t>
  </si>
  <si>
    <t>01492-14TBD</t>
  </si>
  <si>
    <t>01492-10DUP</t>
  </si>
  <si>
    <t>01292-12TBD</t>
  </si>
  <si>
    <t>01292-13TBD</t>
  </si>
  <si>
    <t>01292-14TBD</t>
  </si>
  <si>
    <t>01292-10DUP</t>
  </si>
  <si>
    <t>07422-00DUP</t>
  </si>
  <si>
    <t>07422-20TBD</t>
  </si>
  <si>
    <t>01512-22tbd</t>
  </si>
  <si>
    <t>01512-23TBD</t>
  </si>
  <si>
    <t>01512-24TBD</t>
  </si>
  <si>
    <t>01512-20DUP</t>
  </si>
  <si>
    <t>07222-10TBD</t>
  </si>
  <si>
    <t>07222-20DUP</t>
  </si>
  <si>
    <t>07222-00DUP</t>
  </si>
  <si>
    <t>07122-20TBD</t>
  </si>
  <si>
    <t>01912-12TBD</t>
  </si>
  <si>
    <t>01912-10DUP</t>
  </si>
  <si>
    <t>01492-13TBD</t>
  </si>
  <si>
    <t>07322-10TBD</t>
  </si>
  <si>
    <t>07122-10TBD</t>
  </si>
  <si>
    <t>07322-20TBD</t>
  </si>
  <si>
    <t>07322-00DUP</t>
  </si>
  <si>
    <t>01512-22TBD</t>
  </si>
  <si>
    <t>01292-22TBD</t>
  </si>
  <si>
    <t>01912-22TBD</t>
  </si>
  <si>
    <t>01293-00297</t>
  </si>
  <si>
    <t>01292-23TBD</t>
  </si>
  <si>
    <t>01292-24TBD</t>
  </si>
  <si>
    <t>01292-20DUP</t>
  </si>
  <si>
    <t>01912-20DUP</t>
  </si>
  <si>
    <t>01292-32TBD</t>
  </si>
  <si>
    <t>01292-33TBD</t>
  </si>
  <si>
    <t>01292-34TBD</t>
  </si>
  <si>
    <t>01292-30DUP</t>
  </si>
  <si>
    <t>07141-10TBD</t>
  </si>
  <si>
    <t>01922-10TBD</t>
  </si>
  <si>
    <t>01812-10TBD</t>
  </si>
  <si>
    <t>07522-10TBD</t>
  </si>
  <si>
    <t>07332-20TBD</t>
  </si>
  <si>
    <t>07332--00DUP</t>
  </si>
  <si>
    <t>01492-30TBD</t>
  </si>
  <si>
    <t>01492-30DUP</t>
  </si>
  <si>
    <t>07231-10TBD</t>
  </si>
  <si>
    <t>07232-10TBD</t>
  </si>
  <si>
    <t>07232-20TBD</t>
  </si>
  <si>
    <t>07232-00DUP</t>
  </si>
  <si>
    <t>07332-10TBD</t>
  </si>
  <si>
    <t>07332-2OTBD</t>
  </si>
  <si>
    <t>07332-00DUP</t>
  </si>
  <si>
    <t>Hartnett SS</t>
  </si>
  <si>
    <t>07132-40TBD</t>
  </si>
  <si>
    <t>01922-10DUP</t>
  </si>
  <si>
    <t>01293-00092</t>
  </si>
  <si>
    <t>95001-01193</t>
  </si>
  <si>
    <t>95001-01220</t>
  </si>
  <si>
    <t>99499-00097</t>
  </si>
  <si>
    <t>99241-01TBD</t>
  </si>
  <si>
    <t>99241-00TBD</t>
  </si>
  <si>
    <t>99246-00097</t>
  </si>
  <si>
    <t>05023-00031</t>
  </si>
  <si>
    <t>01513-00298</t>
  </si>
  <si>
    <t>03021-20TBD</t>
  </si>
  <si>
    <t>07203-00002</t>
  </si>
  <si>
    <t>07203-00003</t>
  </si>
  <si>
    <t>99576-00014</t>
  </si>
  <si>
    <t>99576-00024</t>
  </si>
  <si>
    <t>03031-10TBD</t>
  </si>
  <si>
    <t>03011-20TBD</t>
  </si>
  <si>
    <t>03041-10TBD</t>
  </si>
  <si>
    <t>99600-M0TBD</t>
  </si>
  <si>
    <t>95001-00894</t>
  </si>
  <si>
    <t>95001-01170</t>
  </si>
  <si>
    <t>95001-01127</t>
  </si>
  <si>
    <t>05031-10TBD</t>
  </si>
  <si>
    <t>02141-10TBD</t>
  </si>
  <si>
    <t>02181-10TBD</t>
  </si>
  <si>
    <t>02041-10TBD</t>
  </si>
  <si>
    <t>02081-10TBD</t>
  </si>
  <si>
    <t>02142-13TBD</t>
  </si>
  <si>
    <t>02182-13TBD</t>
  </si>
  <si>
    <t>02042-13TBD</t>
  </si>
  <si>
    <t>02082-13TBD</t>
  </si>
  <si>
    <t>02142-14TBD</t>
  </si>
  <si>
    <t>02182-12TBD</t>
  </si>
  <si>
    <t>02182-14TBD</t>
  </si>
  <si>
    <t>02042-12TBD</t>
  </si>
  <si>
    <t>02042-14TBD</t>
  </si>
  <si>
    <t>02082-12TBD</t>
  </si>
  <si>
    <t>02082-14TBD</t>
  </si>
  <si>
    <t>99314-M0TBD</t>
  </si>
  <si>
    <t>99630-00TBD</t>
  </si>
  <si>
    <t>99306-H0TBD</t>
  </si>
  <si>
    <t>Hartnett Design Roll Delta</t>
  </si>
  <si>
    <t>99301-H0TBD</t>
  </si>
  <si>
    <t>Hartnett Design Roll Duplicate</t>
  </si>
  <si>
    <t>99301-H1TBD</t>
  </si>
  <si>
    <t>Hartnett Design Roll H Track Duplicate</t>
  </si>
  <si>
    <t>99306-H1TBD</t>
  </si>
  <si>
    <t>Hartnett Model B Design Roll</t>
  </si>
  <si>
    <t>99314-H0TBD</t>
  </si>
  <si>
    <t>99314-H1TBD</t>
  </si>
  <si>
    <t>Nartnett Model B Design Roll Duplicate</t>
  </si>
  <si>
    <t>Rubber Roll Delta Durometer TBD</t>
  </si>
  <si>
    <t>99630-06TBD</t>
  </si>
  <si>
    <t>Rubber Roll Delta Beveled or Stepped</t>
  </si>
  <si>
    <t>99630-07TBD</t>
  </si>
  <si>
    <t>99630-08TBD</t>
  </si>
  <si>
    <t>Rubber Roll-H Track Durometer TBD</t>
  </si>
  <si>
    <t>Rubber Roll Model B Durometer TBD</t>
  </si>
  <si>
    <t>99630-09TBD</t>
  </si>
  <si>
    <t>99305-M0TBD</t>
  </si>
  <si>
    <t>99630-02TBD</t>
  </si>
  <si>
    <t>99135-00006</t>
  </si>
  <si>
    <t>99135-00009</t>
  </si>
  <si>
    <t>99302-M0TBD</t>
  </si>
  <si>
    <t>99630-04TBD</t>
  </si>
  <si>
    <t>99135-00029</t>
  </si>
  <si>
    <t>99135-00024</t>
  </si>
  <si>
    <t>93IOQ-10TBD</t>
  </si>
  <si>
    <r>
      <t xml:space="preserve">IQ/OQ Document for </t>
    </r>
    <r>
      <rPr>
        <b/>
        <u/>
        <sz val="14"/>
        <color theme="1"/>
        <rFont val="Calibri"/>
        <family val="2"/>
        <scheme val="minor"/>
      </rPr>
      <t>Servo</t>
    </r>
    <r>
      <rPr>
        <b/>
        <sz val="14"/>
        <color theme="1"/>
        <rFont val="Calibri"/>
        <family val="2"/>
        <scheme val="minor"/>
      </rPr>
      <t xml:space="preserve"> Printer HMI
    </t>
    </r>
    <r>
      <rPr>
        <sz val="11"/>
        <color theme="1"/>
        <rFont val="Calibri"/>
        <family val="2"/>
        <scheme val="minor"/>
      </rPr>
      <t>Servo/PLC Printer without Vision Inspection, in English Language</t>
    </r>
  </si>
  <si>
    <r>
      <t xml:space="preserve">IQ/OQ Document for Non Servo Machines
  </t>
    </r>
    <r>
      <rPr>
        <sz val="11"/>
        <color theme="1"/>
        <rFont val="Calibri"/>
        <family val="2"/>
        <scheme val="minor"/>
      </rPr>
      <t xml:space="preserve"> </t>
    </r>
  </si>
  <si>
    <t>93IOQ-20TBD</t>
  </si>
  <si>
    <t>93IOQ-30TBD</t>
  </si>
  <si>
    <t>93DQP-10TBD</t>
  </si>
  <si>
    <r>
      <t xml:space="preserve"> IQ/OQ Document for Ancillary Equipment 
  </t>
    </r>
    <r>
      <rPr>
        <sz val="11"/>
        <color theme="1"/>
        <rFont val="Calibri"/>
        <family val="2"/>
        <scheme val="minor"/>
      </rPr>
      <t xml:space="preserve">  Bulk Hopper Feeder, Sorter, Ink Maintenance, Ink Mixer, etc., in English Language</t>
    </r>
  </si>
  <si>
    <r>
      <rPr>
        <b/>
        <sz val="14"/>
        <color theme="1"/>
        <rFont val="Calibri"/>
        <family val="2"/>
        <scheme val="minor"/>
      </rPr>
      <t>Design Qualification (D.Q.) &amp; Functional Specification (F.S.)</t>
    </r>
    <r>
      <rPr>
        <sz val="14"/>
        <color theme="1"/>
        <rFont val="Calibri"/>
        <family val="2"/>
        <scheme val="minor"/>
      </rPr>
      <t xml:space="preserve">
    </t>
    </r>
    <r>
      <rPr>
        <sz val="11"/>
        <color theme="1"/>
        <rFont val="Calibri"/>
        <family val="2"/>
        <scheme val="minor"/>
      </rPr>
      <t>Note:  DQ document is only available if URS provided by customer,  FS must be ordered with DQ</t>
    </r>
  </si>
  <si>
    <t>95001-00747</t>
  </si>
  <si>
    <t>95001-01050</t>
  </si>
  <si>
    <t>93QLF-10TBD</t>
  </si>
  <si>
    <t>99246-00119</t>
  </si>
  <si>
    <t>99246-00118</t>
  </si>
  <si>
    <t>95001-40002</t>
  </si>
  <si>
    <t>Travel Time</t>
  </si>
  <si>
    <r>
      <rPr>
        <b/>
        <sz val="14"/>
        <color theme="1"/>
        <rFont val="Calibri"/>
        <family val="2"/>
        <scheme val="minor"/>
      </rPr>
      <t>Engineering Support (</t>
    </r>
    <r>
      <rPr>
        <sz val="14"/>
        <color theme="1"/>
        <rFont val="Calibri"/>
        <family val="2"/>
        <scheme val="minor"/>
      </rPr>
      <t>Daily Rate</t>
    </r>
    <r>
      <rPr>
        <b/>
        <sz val="14"/>
        <color theme="1"/>
        <rFont val="Calibri"/>
        <family val="2"/>
        <scheme val="minor"/>
      </rPr>
      <t>)</t>
    </r>
    <r>
      <rPr>
        <sz val="14"/>
        <color theme="1"/>
        <rFont val="Calibri"/>
        <family val="2"/>
        <scheme val="minor"/>
      </rPr>
      <t>,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per 8-hour day</t>
    </r>
  </si>
  <si>
    <t>95001-40003</t>
  </si>
  <si>
    <t>95001-40006</t>
  </si>
  <si>
    <t>95001-40008</t>
  </si>
  <si>
    <t>95001-40009</t>
  </si>
  <si>
    <t>95001-40005</t>
  </si>
  <si>
    <t>95001-40004</t>
  </si>
  <si>
    <t>95001-82TBD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</si>
</sst>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vertAlign val="subscript"/>
      <sz val="16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40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medium">
        <color auto="1"/>
      </right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dotted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dotted">
        <color auto="1"/>
      </top>
      <bottom style="thin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/>
      <right style="medium">
        <color auto="1"/>
      </right>
      <top/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dotted">
        <color auto="1"/>
      </right>
      <top style="thin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/>
      <right style="dotted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/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dotted">
        <color auto="1"/>
      </right>
      <top style="thick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 style="dotted">
        <color auto="1"/>
      </left>
      <right/>
      <top style="thin">
        <color auto="1"/>
      </top>
      <bottom/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ck">
        <color auto="1"/>
      </top>
      <bottom style="medium">
        <color auto="1"/>
      </bottom>
      <diagonal/>
    </border>
    <border>
      <left style="dotted">
        <color auto="1"/>
      </left>
      <right/>
      <top/>
      <bottom style="thin">
        <color auto="1"/>
      </bottom>
      <diagonal/>
    </border>
    <border>
      <left style="dotted">
        <color auto="1"/>
      </left>
      <right/>
      <top style="dotted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465">
    <xf numFmtId="0" fontId="0" fillId="0" borderId="0" xfId="0"/>
    <xf numFmtId="0" fontId="0" fillId="0" borderId="0" xfId="0" applyAlignment="1">
      <alignment horizontal="left" vertical="center" wrapText="1" indent="1"/>
    </xf>
    <xf numFmtId="0" fontId="7" fillId="0" borderId="11" xfId="0" applyFont="1" applyBorder="1" applyAlignment="1">
      <alignment horizontal="left" vertical="center" wrapText="1" indent="1"/>
    </xf>
    <xf numFmtId="0" fontId="7" fillId="2" borderId="11" xfId="0" applyFont="1" applyFill="1" applyBorder="1" applyAlignment="1">
      <alignment horizontal="left" vertical="center" wrapText="1" indent="1"/>
    </xf>
    <xf numFmtId="0" fontId="6" fillId="0" borderId="11" xfId="0" applyFont="1" applyBorder="1" applyAlignment="1">
      <alignment horizontal="left" vertical="center" wrapText="1" indent="1"/>
    </xf>
    <xf numFmtId="0" fontId="6" fillId="0" borderId="36" xfId="0" applyFont="1" applyBorder="1" applyAlignment="1">
      <alignment horizontal="left" vertical="center" wrapText="1" indent="1"/>
    </xf>
    <xf numFmtId="0" fontId="7" fillId="0" borderId="36" xfId="0" applyFont="1" applyBorder="1" applyAlignment="1">
      <alignment horizontal="left" vertical="center" wrapText="1" indent="1"/>
    </xf>
    <xf numFmtId="0" fontId="6" fillId="0" borderId="27" xfId="0" applyFont="1" applyBorder="1" applyAlignment="1">
      <alignment horizontal="left" vertical="center" wrapText="1" indent="1"/>
    </xf>
    <xf numFmtId="0" fontId="6" fillId="0" borderId="52" xfId="0" applyFont="1" applyBorder="1" applyAlignment="1">
      <alignment horizontal="left" vertical="center" wrapText="1" indent="1"/>
    </xf>
    <xf numFmtId="0" fontId="6" fillId="0" borderId="46" xfId="0" applyFont="1" applyBorder="1" applyAlignment="1">
      <alignment horizontal="left" vertical="center" wrapText="1" indent="4"/>
    </xf>
    <xf numFmtId="0" fontId="7" fillId="3" borderId="27" xfId="0" applyFont="1" applyFill="1" applyBorder="1" applyAlignment="1">
      <alignment horizontal="left" vertical="center" wrapText="1" indent="2"/>
    </xf>
    <xf numFmtId="0" fontId="6" fillId="0" borderId="53" xfId="0" applyFont="1" applyBorder="1" applyAlignment="1">
      <alignment horizontal="left" vertical="center" wrapText="1" indent="4"/>
    </xf>
    <xf numFmtId="0" fontId="6" fillId="0" borderId="54" xfId="0" applyFont="1" applyBorder="1" applyAlignment="1">
      <alignment horizontal="left" vertical="center" wrapText="1" indent="4"/>
    </xf>
    <xf numFmtId="0" fontId="6" fillId="0" borderId="49" xfId="0" applyFont="1" applyBorder="1" applyAlignment="1">
      <alignment horizontal="left" vertical="center" wrapText="1" indent="4"/>
    </xf>
    <xf numFmtId="0" fontId="7" fillId="0" borderId="52" xfId="0" applyFont="1" applyBorder="1" applyAlignment="1">
      <alignment horizontal="left" vertical="center" wrapText="1" indent="1"/>
    </xf>
    <xf numFmtId="3" fontId="6" fillId="0" borderId="18" xfId="0" applyNumberFormat="1" applyFont="1" applyBorder="1" applyAlignment="1">
      <alignment horizontal="center" vertical="center" wrapText="1"/>
    </xf>
    <xf numFmtId="3" fontId="6" fillId="0" borderId="21" xfId="0" applyNumberFormat="1" applyFont="1" applyBorder="1" applyAlignment="1">
      <alignment horizontal="center" vertical="center" wrapText="1"/>
    </xf>
    <xf numFmtId="3" fontId="7" fillId="0" borderId="21" xfId="0" applyNumberFormat="1" applyFont="1" applyBorder="1" applyAlignment="1">
      <alignment horizontal="center" vertical="center" wrapText="1"/>
    </xf>
    <xf numFmtId="3" fontId="7" fillId="0" borderId="19" xfId="0" applyNumberFormat="1" applyFont="1" applyBorder="1" applyAlignment="1">
      <alignment horizontal="center" vertical="center" wrapText="1"/>
    </xf>
    <xf numFmtId="3" fontId="7" fillId="0" borderId="18" xfId="0" applyNumberFormat="1" applyFont="1" applyBorder="1" applyAlignment="1">
      <alignment horizontal="center" vertical="center" wrapText="1"/>
    </xf>
    <xf numFmtId="3" fontId="7" fillId="0" borderId="29" xfId="0" applyNumberFormat="1" applyFont="1" applyBorder="1" applyAlignment="1">
      <alignment horizontal="center" vertical="center" wrapText="1"/>
    </xf>
    <xf numFmtId="3" fontId="7" fillId="0" borderId="56" xfId="0" applyNumberFormat="1" applyFont="1" applyBorder="1" applyAlignment="1">
      <alignment horizontal="center" vertical="center" wrapText="1"/>
    </xf>
    <xf numFmtId="3" fontId="7" fillId="0" borderId="57" xfId="0" applyNumberFormat="1" applyFont="1" applyBorder="1" applyAlignment="1">
      <alignment horizontal="center" vertical="center" wrapText="1"/>
    </xf>
    <xf numFmtId="3" fontId="6" fillId="0" borderId="29" xfId="0" applyNumberFormat="1" applyFont="1" applyBorder="1" applyAlignment="1">
      <alignment horizontal="center" vertical="center" wrapText="1"/>
    </xf>
    <xf numFmtId="3" fontId="6" fillId="0" borderId="56" xfId="0" applyNumberFormat="1" applyFont="1" applyBorder="1" applyAlignment="1">
      <alignment horizontal="center" vertical="center" wrapText="1"/>
    </xf>
    <xf numFmtId="3" fontId="6" fillId="0" borderId="19" xfId="0" applyNumberFormat="1" applyFont="1" applyBorder="1" applyAlignment="1">
      <alignment horizontal="center" vertical="center" wrapText="1"/>
    </xf>
    <xf numFmtId="3" fontId="6" fillId="0" borderId="10" xfId="0" applyNumberFormat="1" applyFont="1" applyBorder="1" applyAlignment="1">
      <alignment horizontal="center" vertical="center" wrapText="1"/>
    </xf>
    <xf numFmtId="3" fontId="6" fillId="0" borderId="57" xfId="0" applyNumberFormat="1" applyFont="1" applyBorder="1" applyAlignment="1">
      <alignment horizontal="center" vertical="center" wrapText="1"/>
    </xf>
    <xf numFmtId="3" fontId="7" fillId="2" borderId="18" xfId="0" applyNumberFormat="1" applyFont="1" applyFill="1" applyBorder="1" applyAlignment="1">
      <alignment horizontal="center" vertical="center" wrapText="1"/>
    </xf>
    <xf numFmtId="3" fontId="7" fillId="3" borderId="29" xfId="0" applyNumberFormat="1" applyFont="1" applyFill="1" applyBorder="1" applyAlignment="1">
      <alignment horizontal="center" vertical="center" wrapText="1"/>
    </xf>
    <xf numFmtId="3" fontId="6" fillId="0" borderId="58" xfId="0" applyNumberFormat="1" applyFont="1" applyBorder="1" applyAlignment="1">
      <alignment horizontal="center" vertical="center" wrapText="1"/>
    </xf>
    <xf numFmtId="3" fontId="6" fillId="0" borderId="59" xfId="0" applyNumberFormat="1" applyFont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3" fontId="6" fillId="0" borderId="55" xfId="0" applyNumberFormat="1" applyFont="1" applyBorder="1" applyAlignment="1">
      <alignment horizontal="center" vertical="center" wrapText="1"/>
    </xf>
    <xf numFmtId="3" fontId="6" fillId="0" borderId="34" xfId="0" applyNumberFormat="1" applyFont="1" applyBorder="1" applyAlignment="1">
      <alignment horizontal="center" vertical="center" wrapText="1"/>
    </xf>
    <xf numFmtId="3" fontId="6" fillId="0" borderId="16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0" xfId="0" applyBorder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165" fontId="0" fillId="0" borderId="6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4" fontId="6" fillId="5" borderId="24" xfId="0" applyNumberFormat="1" applyFont="1" applyFill="1" applyBorder="1" applyAlignment="1">
      <alignment horizontal="center" vertical="center" wrapText="1"/>
    </xf>
    <xf numFmtId="164" fontId="6" fillId="5" borderId="22" xfId="0" applyNumberFormat="1" applyFont="1" applyFill="1" applyBorder="1" applyAlignment="1">
      <alignment horizontal="center" vertical="center" wrapText="1"/>
    </xf>
    <xf numFmtId="164" fontId="6" fillId="5" borderId="23" xfId="0" applyNumberFormat="1" applyFont="1" applyFill="1" applyBorder="1" applyAlignment="1">
      <alignment horizontal="center" vertical="center" wrapText="1"/>
    </xf>
    <xf numFmtId="164" fontId="6" fillId="5" borderId="62" xfId="0" applyNumberFormat="1" applyFont="1" applyFill="1" applyBorder="1" applyAlignment="1">
      <alignment horizontal="center" vertical="center" wrapText="1"/>
    </xf>
    <xf numFmtId="164" fontId="6" fillId="5" borderId="44" xfId="0" applyNumberFormat="1" applyFont="1" applyFill="1" applyBorder="1" applyAlignment="1">
      <alignment horizontal="center" vertical="center" wrapText="1"/>
    </xf>
    <xf numFmtId="164" fontId="6" fillId="5" borderId="45" xfId="0" applyNumberFormat="1" applyFont="1" applyFill="1" applyBorder="1" applyAlignment="1">
      <alignment horizontal="center" vertical="center" wrapText="1"/>
    </xf>
    <xf numFmtId="164" fontId="6" fillId="5" borderId="51" xfId="0" applyNumberFormat="1" applyFont="1" applyFill="1" applyBorder="1" applyAlignment="1">
      <alignment horizontal="center" vertical="center" wrapText="1"/>
    </xf>
    <xf numFmtId="164" fontId="6" fillId="5" borderId="47" xfId="0" applyNumberFormat="1" applyFont="1" applyFill="1" applyBorder="1" applyAlignment="1">
      <alignment horizontal="center" vertical="center" wrapText="1"/>
    </xf>
    <xf numFmtId="164" fontId="6" fillId="5" borderId="48" xfId="0" applyNumberFormat="1" applyFont="1" applyFill="1" applyBorder="1" applyAlignment="1">
      <alignment horizontal="center" vertical="center" wrapText="1"/>
    </xf>
    <xf numFmtId="164" fontId="6" fillId="5" borderId="63" xfId="0" applyNumberFormat="1" applyFont="1" applyFill="1" applyBorder="1" applyAlignment="1">
      <alignment horizontal="center" vertical="center" wrapText="1"/>
    </xf>
    <xf numFmtId="164" fontId="6" fillId="5" borderId="25" xfId="0" applyNumberFormat="1" applyFont="1" applyFill="1" applyBorder="1" applyAlignment="1">
      <alignment horizontal="center" vertical="center" wrapText="1"/>
    </xf>
    <xf numFmtId="164" fontId="6" fillId="5" borderId="26" xfId="0" applyNumberFormat="1" applyFont="1" applyFill="1" applyBorder="1" applyAlignment="1">
      <alignment horizontal="center" vertical="center" wrapText="1"/>
    </xf>
    <xf numFmtId="164" fontId="0" fillId="5" borderId="51" xfId="0" applyNumberFormat="1" applyFill="1" applyBorder="1" applyAlignment="1">
      <alignment horizontal="center" vertical="center" wrapText="1"/>
    </xf>
    <xf numFmtId="164" fontId="0" fillId="5" borderId="47" xfId="0" applyNumberFormat="1" applyFill="1" applyBorder="1" applyAlignment="1">
      <alignment horizontal="center" vertical="center" wrapText="1"/>
    </xf>
    <xf numFmtId="164" fontId="0" fillId="5" borderId="48" xfId="0" applyNumberFormat="1" applyFill="1" applyBorder="1" applyAlignment="1">
      <alignment horizontal="center" vertical="center" wrapText="1"/>
    </xf>
    <xf numFmtId="164" fontId="0" fillId="5" borderId="24" xfId="0" applyNumberFormat="1" applyFill="1" applyBorder="1" applyAlignment="1">
      <alignment horizontal="center" vertical="center" wrapText="1"/>
    </xf>
    <xf numFmtId="164" fontId="0" fillId="5" borderId="22" xfId="0" applyNumberFormat="1" applyFill="1" applyBorder="1" applyAlignment="1">
      <alignment horizontal="center" vertical="center" wrapText="1"/>
    </xf>
    <xf numFmtId="164" fontId="0" fillId="5" borderId="23" xfId="0" applyNumberForma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64" fontId="6" fillId="5" borderId="28" xfId="0" applyNumberFormat="1" applyFont="1" applyFill="1" applyBorder="1" applyAlignment="1">
      <alignment horizontal="center" vertical="center" wrapText="1"/>
    </xf>
    <xf numFmtId="164" fontId="6" fillId="5" borderId="29" xfId="0" applyNumberFormat="1" applyFont="1" applyFill="1" applyBorder="1" applyAlignment="1">
      <alignment horizontal="center" vertical="center" wrapText="1"/>
    </xf>
    <xf numFmtId="164" fontId="7" fillId="5" borderId="28" xfId="0" applyNumberFormat="1" applyFont="1" applyFill="1" applyBorder="1" applyAlignment="1">
      <alignment horizontal="center" vertical="center" wrapText="1"/>
    </xf>
    <xf numFmtId="164" fontId="7" fillId="5" borderId="29" xfId="0" applyNumberFormat="1" applyFont="1" applyFill="1" applyBorder="1" applyAlignment="1">
      <alignment horizontal="center" vertical="center" wrapText="1"/>
    </xf>
    <xf numFmtId="164" fontId="7" fillId="4" borderId="17" xfId="0" applyNumberFormat="1" applyFont="1" applyFill="1" applyBorder="1" applyAlignment="1">
      <alignment horizontal="center" vertical="center" wrapText="1"/>
    </xf>
    <xf numFmtId="164" fontId="7" fillId="4" borderId="18" xfId="0" applyNumberFormat="1" applyFont="1" applyFill="1" applyBorder="1" applyAlignment="1">
      <alignment horizontal="center" vertical="center" wrapText="1"/>
    </xf>
    <xf numFmtId="164" fontId="6" fillId="4" borderId="34" xfId="0" applyNumberFormat="1" applyFont="1" applyFill="1" applyBorder="1" applyAlignment="1">
      <alignment horizontal="center" vertical="center" wrapText="1"/>
    </xf>
    <xf numFmtId="164" fontId="6" fillId="4" borderId="16" xfId="0" applyNumberFormat="1" applyFont="1" applyFill="1" applyBorder="1" applyAlignment="1">
      <alignment horizontal="center" vertical="center" wrapText="1"/>
    </xf>
    <xf numFmtId="165" fontId="0" fillId="4" borderId="6" xfId="0" applyNumberFormat="1" applyFill="1" applyBorder="1" applyAlignment="1">
      <alignment horizontal="center" vertical="center" wrapText="1"/>
    </xf>
    <xf numFmtId="165" fontId="6" fillId="4" borderId="34" xfId="0" applyNumberFormat="1" applyFont="1" applyFill="1" applyBorder="1" applyAlignment="1">
      <alignment horizontal="center" vertical="center" wrapText="1"/>
    </xf>
    <xf numFmtId="165" fontId="6" fillId="4" borderId="64" xfId="0" applyNumberFormat="1" applyFont="1" applyFill="1" applyBorder="1" applyAlignment="1">
      <alignment horizontal="center" vertical="center" wrapText="1"/>
    </xf>
    <xf numFmtId="165" fontId="6" fillId="4" borderId="65" xfId="0" applyNumberFormat="1" applyFont="1" applyFill="1" applyBorder="1" applyAlignment="1">
      <alignment horizontal="center" vertical="center" wrapText="1"/>
    </xf>
    <xf numFmtId="165" fontId="6" fillId="4" borderId="66" xfId="0" applyNumberFormat="1" applyFont="1" applyFill="1" applyBorder="1" applyAlignment="1">
      <alignment horizontal="center" vertical="center" wrapText="1"/>
    </xf>
    <xf numFmtId="165" fontId="6" fillId="4" borderId="16" xfId="0" applyNumberFormat="1" applyFont="1" applyFill="1" applyBorder="1" applyAlignment="1">
      <alignment horizontal="center" vertical="center" wrapText="1"/>
    </xf>
    <xf numFmtId="165" fontId="6" fillId="4" borderId="43" xfId="0" applyNumberFormat="1" applyFont="1" applyFill="1" applyBorder="1" applyAlignment="1">
      <alignment horizontal="center" vertical="center" wrapText="1"/>
    </xf>
    <xf numFmtId="165" fontId="6" fillId="4" borderId="67" xfId="0" applyNumberFormat="1" applyFont="1" applyFill="1" applyBorder="1" applyAlignment="1">
      <alignment horizontal="center" vertical="center" wrapText="1"/>
    </xf>
    <xf numFmtId="164" fontId="6" fillId="5" borderId="17" xfId="0" applyNumberFormat="1" applyFont="1" applyFill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3" fontId="6" fillId="0" borderId="6" xfId="0" applyNumberFormat="1" applyFont="1" applyBorder="1" applyAlignment="1">
      <alignment horizontal="center" vertical="center" wrapText="1"/>
    </xf>
    <xf numFmtId="164" fontId="6" fillId="4" borderId="6" xfId="0" applyNumberFormat="1" applyFont="1" applyFill="1" applyBorder="1" applyAlignment="1">
      <alignment horizontal="center" vertical="center" wrapText="1"/>
    </xf>
    <xf numFmtId="164" fontId="6" fillId="5" borderId="71" xfId="0" applyNumberFormat="1" applyFont="1" applyFill="1" applyBorder="1" applyAlignment="1">
      <alignment horizontal="center" vertical="center" wrapText="1"/>
    </xf>
    <xf numFmtId="164" fontId="6" fillId="5" borderId="72" xfId="0" applyNumberFormat="1" applyFont="1" applyFill="1" applyBorder="1" applyAlignment="1">
      <alignment horizontal="center" vertical="center" wrapText="1"/>
    </xf>
    <xf numFmtId="164" fontId="6" fillId="5" borderId="73" xfId="0" applyNumberFormat="1" applyFont="1" applyFill="1" applyBorder="1" applyAlignment="1">
      <alignment horizontal="center" vertical="center" wrapText="1"/>
    </xf>
    <xf numFmtId="164" fontId="0" fillId="5" borderId="76" xfId="0" applyNumberFormat="1" applyFill="1" applyBorder="1" applyAlignment="1">
      <alignment horizontal="center" vertical="center" wrapText="1"/>
    </xf>
    <xf numFmtId="164" fontId="0" fillId="5" borderId="77" xfId="0" applyNumberFormat="1" applyFill="1" applyBorder="1" applyAlignment="1">
      <alignment horizontal="center" vertical="center" wrapText="1"/>
    </xf>
    <xf numFmtId="164" fontId="0" fillId="5" borderId="78" xfId="0" applyNumberForma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165" fontId="0" fillId="0" borderId="80" xfId="0" applyNumberFormat="1" applyBorder="1" applyAlignment="1">
      <alignment horizontal="center" vertical="center"/>
    </xf>
    <xf numFmtId="3" fontId="6" fillId="0" borderId="82" xfId="0" applyNumberFormat="1" applyFont="1" applyBorder="1" applyAlignment="1">
      <alignment horizontal="center" vertical="center" wrapText="1"/>
    </xf>
    <xf numFmtId="164" fontId="6" fillId="4" borderId="82" xfId="0" applyNumberFormat="1" applyFont="1" applyFill="1" applyBorder="1" applyAlignment="1">
      <alignment horizontal="center" vertical="center" wrapText="1"/>
    </xf>
    <xf numFmtId="164" fontId="6" fillId="5" borderId="83" xfId="0" applyNumberFormat="1" applyFont="1" applyFill="1" applyBorder="1" applyAlignment="1">
      <alignment horizontal="center" vertical="center" wrapText="1"/>
    </xf>
    <xf numFmtId="165" fontId="0" fillId="0" borderId="84" xfId="0" applyNumberFormat="1" applyBorder="1" applyAlignment="1">
      <alignment horizontal="center" vertical="center"/>
    </xf>
    <xf numFmtId="3" fontId="6" fillId="0" borderId="87" xfId="0" applyNumberFormat="1" applyFont="1" applyBorder="1" applyAlignment="1">
      <alignment horizontal="center" vertical="center" wrapText="1"/>
    </xf>
    <xf numFmtId="164" fontId="6" fillId="4" borderId="87" xfId="0" applyNumberFormat="1" applyFont="1" applyFill="1" applyBorder="1" applyAlignment="1">
      <alignment horizontal="center" vertical="center" wrapText="1"/>
    </xf>
    <xf numFmtId="164" fontId="6" fillId="5" borderId="88" xfId="0" applyNumberFormat="1" applyFont="1" applyFill="1" applyBorder="1" applyAlignment="1">
      <alignment horizontal="center" vertical="center" wrapText="1"/>
    </xf>
    <xf numFmtId="164" fontId="6" fillId="5" borderId="89" xfId="0" applyNumberFormat="1" applyFont="1" applyFill="1" applyBorder="1" applyAlignment="1">
      <alignment horizontal="center" vertical="center" wrapText="1"/>
    </xf>
    <xf numFmtId="164" fontId="6" fillId="5" borderId="90" xfId="0" applyNumberFormat="1" applyFont="1" applyFill="1" applyBorder="1" applyAlignment="1">
      <alignment horizontal="center" vertical="center" wrapText="1"/>
    </xf>
    <xf numFmtId="165" fontId="0" fillId="0" borderId="91" xfId="0" applyNumberFormat="1" applyBorder="1" applyAlignment="1">
      <alignment horizontal="center" vertical="center"/>
    </xf>
    <xf numFmtId="3" fontId="6" fillId="0" borderId="84" xfId="0" applyNumberFormat="1" applyFont="1" applyBorder="1" applyAlignment="1">
      <alignment horizontal="center" vertical="center" wrapText="1"/>
    </xf>
    <xf numFmtId="164" fontId="6" fillId="4" borderId="84" xfId="0" applyNumberFormat="1" applyFont="1" applyFill="1" applyBorder="1" applyAlignment="1">
      <alignment horizontal="center" vertical="center" wrapText="1"/>
    </xf>
    <xf numFmtId="164" fontId="6" fillId="5" borderId="84" xfId="0" applyNumberFormat="1" applyFont="1" applyFill="1" applyBorder="1" applyAlignment="1">
      <alignment horizontal="center" vertical="center" wrapText="1"/>
    </xf>
    <xf numFmtId="0" fontId="0" fillId="0" borderId="80" xfId="0" applyBorder="1" applyAlignment="1">
      <alignment horizontal="center" vertical="center"/>
    </xf>
    <xf numFmtId="3" fontId="6" fillId="0" borderId="93" xfId="0" applyNumberFormat="1" applyFont="1" applyBorder="1" applyAlignment="1">
      <alignment horizontal="center" vertical="center" wrapText="1"/>
    </xf>
    <xf numFmtId="164" fontId="6" fillId="4" borderId="93" xfId="0" applyNumberFormat="1" applyFont="1" applyFill="1" applyBorder="1" applyAlignment="1">
      <alignment horizontal="center" vertical="center" wrapText="1"/>
    </xf>
    <xf numFmtId="164" fontId="6" fillId="5" borderId="93" xfId="0" applyNumberFormat="1" applyFont="1" applyFill="1" applyBorder="1" applyAlignment="1">
      <alignment horizontal="center" vertical="center" wrapText="1"/>
    </xf>
    <xf numFmtId="165" fontId="0" fillId="0" borderId="93" xfId="0" applyNumberFormat="1" applyBorder="1" applyAlignment="1">
      <alignment horizontal="center" vertical="center"/>
    </xf>
    <xf numFmtId="3" fontId="6" fillId="0" borderId="94" xfId="0" applyNumberFormat="1" applyFont="1" applyBorder="1" applyAlignment="1">
      <alignment horizontal="center" vertical="center" wrapText="1"/>
    </xf>
    <xf numFmtId="164" fontId="6" fillId="4" borderId="94" xfId="0" applyNumberFormat="1" applyFont="1" applyFill="1" applyBorder="1" applyAlignment="1">
      <alignment horizontal="center" vertical="center" wrapText="1"/>
    </xf>
    <xf numFmtId="164" fontId="6" fillId="5" borderId="94" xfId="0" applyNumberFormat="1" applyFont="1" applyFill="1" applyBorder="1" applyAlignment="1">
      <alignment horizontal="center" vertical="center" wrapText="1"/>
    </xf>
    <xf numFmtId="165" fontId="0" fillId="0" borderId="94" xfId="0" applyNumberFormat="1" applyBorder="1" applyAlignment="1">
      <alignment horizontal="center" vertical="center"/>
    </xf>
    <xf numFmtId="3" fontId="6" fillId="0" borderId="95" xfId="0" applyNumberFormat="1" applyFont="1" applyBorder="1" applyAlignment="1">
      <alignment horizontal="center" vertical="center" wrapText="1"/>
    </xf>
    <xf numFmtId="164" fontId="6" fillId="4" borderId="95" xfId="0" applyNumberFormat="1" applyFont="1" applyFill="1" applyBorder="1" applyAlignment="1">
      <alignment horizontal="center" vertical="center" wrapText="1"/>
    </xf>
    <xf numFmtId="164" fontId="6" fillId="5" borderId="95" xfId="0" applyNumberFormat="1" applyFont="1" applyFill="1" applyBorder="1" applyAlignment="1">
      <alignment horizontal="center" vertical="center" wrapText="1"/>
    </xf>
    <xf numFmtId="165" fontId="0" fillId="0" borderId="95" xfId="0" applyNumberFormat="1" applyBorder="1" applyAlignment="1">
      <alignment horizontal="center" vertical="center"/>
    </xf>
    <xf numFmtId="164" fontId="6" fillId="7" borderId="24" xfId="0" applyNumberFormat="1" applyFont="1" applyFill="1" applyBorder="1" applyAlignment="1">
      <alignment horizontal="center" vertical="center" wrapText="1"/>
    </xf>
    <xf numFmtId="164" fontId="6" fillId="7" borderId="22" xfId="0" applyNumberFormat="1" applyFont="1" applyFill="1" applyBorder="1" applyAlignment="1">
      <alignment horizontal="center" vertical="center" wrapText="1"/>
    </xf>
    <xf numFmtId="164" fontId="6" fillId="7" borderId="23" xfId="0" applyNumberFormat="1" applyFont="1" applyFill="1" applyBorder="1" applyAlignment="1">
      <alignment horizontal="center" vertical="center" wrapText="1"/>
    </xf>
    <xf numFmtId="164" fontId="6" fillId="7" borderId="0" xfId="0" applyNumberFormat="1" applyFont="1" applyFill="1" applyAlignment="1">
      <alignment horizontal="center" vertical="center" wrapText="1"/>
    </xf>
    <xf numFmtId="165" fontId="0" fillId="7" borderId="60" xfId="0" applyNumberFormat="1" applyFill="1" applyBorder="1" applyAlignment="1">
      <alignment horizontal="center" vertical="center"/>
    </xf>
    <xf numFmtId="165" fontId="0" fillId="0" borderId="79" xfId="0" applyNumberFormat="1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164" fontId="0" fillId="5" borderId="94" xfId="0" applyNumberFormat="1" applyFill="1" applyBorder="1" applyAlignment="1">
      <alignment horizontal="center" vertical="center" wrapText="1"/>
    </xf>
    <xf numFmtId="0" fontId="3" fillId="0" borderId="94" xfId="0" applyFont="1" applyBorder="1" applyAlignment="1">
      <alignment horizontal="center" vertical="center"/>
    </xf>
    <xf numFmtId="164" fontId="6" fillId="7" borderId="94" xfId="0" applyNumberFormat="1" applyFont="1" applyFill="1" applyBorder="1" applyAlignment="1">
      <alignment horizontal="center" vertical="center" wrapText="1"/>
    </xf>
    <xf numFmtId="165" fontId="0" fillId="7" borderId="94" xfId="0" applyNumberFormat="1" applyFill="1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164" fontId="6" fillId="7" borderId="95" xfId="0" applyNumberFormat="1" applyFont="1" applyFill="1" applyBorder="1" applyAlignment="1">
      <alignment horizontal="center" vertical="center" wrapText="1"/>
    </xf>
    <xf numFmtId="165" fontId="0" fillId="7" borderId="95" xfId="0" applyNumberFormat="1" applyFill="1" applyBorder="1" applyAlignment="1">
      <alignment horizontal="center" vertical="center"/>
    </xf>
    <xf numFmtId="164" fontId="6" fillId="7" borderId="34" xfId="0" applyNumberFormat="1" applyFont="1" applyFill="1" applyBorder="1" applyAlignment="1">
      <alignment horizontal="center" vertical="center" wrapText="1"/>
    </xf>
    <xf numFmtId="164" fontId="6" fillId="7" borderId="12" xfId="0" applyNumberFormat="1" applyFont="1" applyFill="1" applyBorder="1" applyAlignment="1">
      <alignment horizontal="center" vertical="center" wrapText="1"/>
    </xf>
    <xf numFmtId="0" fontId="0" fillId="8" borderId="81" xfId="0" applyFill="1" applyBorder="1" applyAlignment="1">
      <alignment horizontal="left" vertical="center" wrapText="1" indent="1"/>
    </xf>
    <xf numFmtId="0" fontId="7" fillId="8" borderId="85" xfId="0" applyFont="1" applyFill="1" applyBorder="1" applyAlignment="1">
      <alignment horizontal="left" vertical="center" wrapText="1" indent="1"/>
    </xf>
    <xf numFmtId="0" fontId="0" fillId="8" borderId="85" xfId="0" applyFill="1" applyBorder="1" applyAlignment="1">
      <alignment horizontal="left" vertical="center" wrapText="1" indent="1"/>
    </xf>
    <xf numFmtId="0" fontId="7" fillId="8" borderId="86" xfId="0" applyFont="1" applyFill="1" applyBorder="1" applyAlignment="1">
      <alignment horizontal="left" vertical="center" wrapText="1" indent="1"/>
    </xf>
    <xf numFmtId="0" fontId="7" fillId="4" borderId="81" xfId="0" applyFont="1" applyFill="1" applyBorder="1" applyAlignment="1">
      <alignment horizontal="left" vertical="center" wrapText="1" indent="1"/>
    </xf>
    <xf numFmtId="0" fontId="7" fillId="4" borderId="85" xfId="0" applyFont="1" applyFill="1" applyBorder="1" applyAlignment="1">
      <alignment horizontal="left" vertical="center" wrapText="1" indent="1"/>
    </xf>
    <xf numFmtId="0" fontId="0" fillId="8" borderId="99" xfId="0" applyFill="1" applyBorder="1" applyAlignment="1">
      <alignment horizontal="left" vertical="center" wrapText="1" indent="1"/>
    </xf>
    <xf numFmtId="0" fontId="7" fillId="4" borderId="92" xfId="0" applyFont="1" applyFill="1" applyBorder="1" applyAlignment="1">
      <alignment horizontal="left" vertical="center" wrapText="1" indent="1"/>
    </xf>
    <xf numFmtId="0" fontId="7" fillId="4" borderId="86" xfId="0" applyFont="1" applyFill="1" applyBorder="1" applyAlignment="1">
      <alignment horizontal="left" vertical="center" wrapText="1" indent="1"/>
    </xf>
    <xf numFmtId="0" fontId="0" fillId="8" borderId="14" xfId="0" applyFill="1" applyBorder="1" applyAlignment="1">
      <alignment horizontal="left" vertical="center" wrapText="1" indent="1"/>
    </xf>
    <xf numFmtId="0" fontId="7" fillId="4" borderId="41" xfId="0" applyFont="1" applyFill="1" applyBorder="1" applyAlignment="1">
      <alignment horizontal="left" vertical="center" wrapText="1" indent="1"/>
    </xf>
    <xf numFmtId="0" fontId="0" fillId="8" borderId="1" xfId="0" applyFill="1" applyBorder="1" applyAlignment="1">
      <alignment horizontal="left" vertical="center" wrapText="1" indent="1"/>
    </xf>
    <xf numFmtId="0" fontId="7" fillId="4" borderId="37" xfId="0" applyFont="1" applyFill="1" applyBorder="1" applyAlignment="1">
      <alignment horizontal="left" vertical="center" wrapText="1" indent="1"/>
    </xf>
    <xf numFmtId="0" fontId="7" fillId="4" borderId="1" xfId="0" applyFont="1" applyFill="1" applyBorder="1" applyAlignment="1">
      <alignment horizontal="left" vertical="center" wrapText="1" indent="1"/>
    </xf>
    <xf numFmtId="164" fontId="6" fillId="7" borderId="6" xfId="0" applyNumberFormat="1" applyFont="1" applyFill="1" applyBorder="1" applyAlignment="1">
      <alignment horizontal="center" vertical="center" wrapText="1"/>
    </xf>
    <xf numFmtId="0" fontId="3" fillId="0" borderId="79" xfId="0" applyFont="1" applyBorder="1" applyAlignment="1">
      <alignment horizontal="center" vertical="center"/>
    </xf>
    <xf numFmtId="164" fontId="6" fillId="4" borderId="55" xfId="0" applyNumberFormat="1" applyFont="1" applyFill="1" applyBorder="1" applyAlignment="1">
      <alignment horizontal="center" vertical="center" wrapText="1"/>
    </xf>
    <xf numFmtId="164" fontId="6" fillId="5" borderId="96" xfId="0" applyNumberFormat="1" applyFont="1" applyFill="1" applyBorder="1" applyAlignment="1">
      <alignment horizontal="center" vertical="center" wrapText="1"/>
    </xf>
    <xf numFmtId="0" fontId="7" fillId="8" borderId="100" xfId="0" applyFont="1" applyFill="1" applyBorder="1" applyAlignment="1">
      <alignment horizontal="left" vertical="center" wrapText="1" indent="1"/>
    </xf>
    <xf numFmtId="3" fontId="6" fillId="0" borderId="101" xfId="0" applyNumberFormat="1" applyFont="1" applyBorder="1" applyAlignment="1">
      <alignment horizontal="center" vertical="center" wrapText="1"/>
    </xf>
    <xf numFmtId="164" fontId="6" fillId="4" borderId="101" xfId="0" applyNumberFormat="1" applyFont="1" applyFill="1" applyBorder="1" applyAlignment="1">
      <alignment horizontal="center" vertical="center" wrapText="1"/>
    </xf>
    <xf numFmtId="164" fontId="6" fillId="5" borderId="102" xfId="0" applyNumberFormat="1" applyFont="1" applyFill="1" applyBorder="1" applyAlignment="1">
      <alignment horizontal="center" vertical="center" wrapText="1"/>
    </xf>
    <xf numFmtId="164" fontId="6" fillId="5" borderId="103" xfId="0" applyNumberFormat="1" applyFont="1" applyFill="1" applyBorder="1" applyAlignment="1">
      <alignment horizontal="center" vertical="center" wrapText="1"/>
    </xf>
    <xf numFmtId="164" fontId="6" fillId="5" borderId="104" xfId="0" applyNumberFormat="1" applyFont="1" applyFill="1" applyBorder="1" applyAlignment="1">
      <alignment horizontal="center" vertical="center" wrapText="1"/>
    </xf>
    <xf numFmtId="0" fontId="7" fillId="4" borderId="99" xfId="0" applyFont="1" applyFill="1" applyBorder="1" applyAlignment="1">
      <alignment horizontal="left" vertical="center" wrapText="1" indent="1"/>
    </xf>
    <xf numFmtId="0" fontId="0" fillId="8" borderId="35" xfId="0" applyFill="1" applyBorder="1" applyAlignment="1">
      <alignment horizontal="left" vertical="center" wrapText="1" indent="1"/>
    </xf>
    <xf numFmtId="164" fontId="6" fillId="5" borderId="97" xfId="0" applyNumberFormat="1" applyFont="1" applyFill="1" applyBorder="1" applyAlignment="1">
      <alignment horizontal="center" vertical="center" wrapText="1"/>
    </xf>
    <xf numFmtId="164" fontId="6" fillId="5" borderId="98" xfId="0" applyNumberFormat="1" applyFont="1" applyFill="1" applyBorder="1" applyAlignment="1">
      <alignment horizontal="center" vertical="center" wrapText="1"/>
    </xf>
    <xf numFmtId="0" fontId="0" fillId="8" borderId="86" xfId="0" applyFill="1" applyBorder="1" applyAlignment="1">
      <alignment horizontal="left" vertical="center" wrapText="1" indent="1"/>
    </xf>
    <xf numFmtId="0" fontId="0" fillId="8" borderId="41" xfId="0" applyFill="1" applyBorder="1" applyAlignment="1">
      <alignment horizontal="left" vertical="center" wrapText="1" indent="1"/>
    </xf>
    <xf numFmtId="0" fontId="6" fillId="4" borderId="81" xfId="0" applyFont="1" applyFill="1" applyBorder="1" applyAlignment="1">
      <alignment horizontal="left" vertical="center" wrapText="1" indent="1"/>
    </xf>
    <xf numFmtId="0" fontId="6" fillId="4" borderId="105" xfId="0" applyFont="1" applyFill="1" applyBorder="1" applyAlignment="1">
      <alignment horizontal="left" vertical="center" wrapText="1" indent="1"/>
    </xf>
    <xf numFmtId="164" fontId="6" fillId="7" borderId="82" xfId="0" applyNumberFormat="1" applyFont="1" applyFill="1" applyBorder="1" applyAlignment="1">
      <alignment horizontal="center" vertical="center" wrapText="1"/>
    </xf>
    <xf numFmtId="164" fontId="6" fillId="7" borderId="55" xfId="0" applyNumberFormat="1" applyFont="1" applyFill="1" applyBorder="1" applyAlignment="1">
      <alignment horizontal="center" vertical="center" wrapText="1"/>
    </xf>
    <xf numFmtId="164" fontId="6" fillId="7" borderId="87" xfId="0" applyNumberFormat="1" applyFont="1" applyFill="1" applyBorder="1" applyAlignment="1">
      <alignment horizontal="center" vertical="center" wrapText="1"/>
    </xf>
    <xf numFmtId="164" fontId="6" fillId="7" borderId="88" xfId="0" applyNumberFormat="1" applyFont="1" applyFill="1" applyBorder="1" applyAlignment="1">
      <alignment horizontal="center" vertical="center" wrapText="1"/>
    </xf>
    <xf numFmtId="164" fontId="6" fillId="7" borderId="89" xfId="0" applyNumberFormat="1" applyFont="1" applyFill="1" applyBorder="1" applyAlignment="1">
      <alignment horizontal="center" vertical="center" wrapText="1"/>
    </xf>
    <xf numFmtId="164" fontId="6" fillId="7" borderId="90" xfId="0" applyNumberFormat="1" applyFont="1" applyFill="1" applyBorder="1" applyAlignment="1">
      <alignment horizontal="center" vertical="center" wrapText="1"/>
    </xf>
    <xf numFmtId="164" fontId="6" fillId="7" borderId="83" xfId="0" applyNumberFormat="1" applyFont="1" applyFill="1" applyBorder="1" applyAlignment="1">
      <alignment horizontal="center" vertical="center" wrapText="1"/>
    </xf>
    <xf numFmtId="164" fontId="6" fillId="7" borderId="96" xfId="0" applyNumberFormat="1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left" vertical="center" wrapText="1" indent="1"/>
    </xf>
    <xf numFmtId="0" fontId="6" fillId="5" borderId="11" xfId="0" applyFont="1" applyFill="1" applyBorder="1" applyAlignment="1">
      <alignment horizontal="left" vertical="center" wrapText="1" indent="3"/>
    </xf>
    <xf numFmtId="0" fontId="6" fillId="0" borderId="0" xfId="0" applyFont="1"/>
    <xf numFmtId="0" fontId="7" fillId="4" borderId="11" xfId="0" applyFont="1" applyFill="1" applyBorder="1" applyAlignment="1">
      <alignment horizontal="left" vertical="center" wrapText="1" indent="3"/>
    </xf>
    <xf numFmtId="0" fontId="7" fillId="8" borderId="11" xfId="0" applyFont="1" applyFill="1" applyBorder="1" applyAlignment="1">
      <alignment horizontal="left" vertical="center" wrapText="1" indent="1"/>
    </xf>
    <xf numFmtId="0" fontId="7" fillId="4" borderId="11" xfId="0" applyFont="1" applyFill="1" applyBorder="1" applyAlignment="1">
      <alignment horizontal="left" vertical="center" wrapText="1" indent="1"/>
    </xf>
    <xf numFmtId="0" fontId="0" fillId="0" borderId="7" xfId="0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106" xfId="0" applyBorder="1" applyAlignment="1">
      <alignment horizontal="center" vertical="center" wrapText="1"/>
    </xf>
    <xf numFmtId="0" fontId="0" fillId="0" borderId="107" xfId="0" applyBorder="1" applyAlignment="1">
      <alignment horizontal="center" vertical="center" wrapText="1"/>
    </xf>
    <xf numFmtId="0" fontId="0" fillId="0" borderId="108" xfId="0" applyBorder="1" applyAlignment="1">
      <alignment horizontal="center" vertical="center" wrapText="1"/>
    </xf>
    <xf numFmtId="0" fontId="0" fillId="0" borderId="109" xfId="0" applyBorder="1" applyAlignment="1">
      <alignment horizontal="center" vertical="center" wrapText="1"/>
    </xf>
    <xf numFmtId="0" fontId="3" fillId="0" borderId="106" xfId="0" applyFont="1" applyBorder="1" applyAlignment="1">
      <alignment horizontal="center" vertical="center" wrapText="1"/>
    </xf>
    <xf numFmtId="0" fontId="0" fillId="0" borderId="74" xfId="0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0" fillId="0" borderId="11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6" fillId="0" borderId="5" xfId="0" applyFont="1" applyBorder="1"/>
    <xf numFmtId="0" fontId="6" fillId="0" borderId="42" xfId="0" applyFont="1" applyBorder="1"/>
    <xf numFmtId="164" fontId="6" fillId="0" borderId="42" xfId="0" applyNumberFormat="1" applyFont="1" applyBorder="1"/>
    <xf numFmtId="0" fontId="7" fillId="4" borderId="93" xfId="0" applyFont="1" applyFill="1" applyBorder="1" applyAlignment="1">
      <alignment horizontal="left" vertical="center" wrapText="1" indent="1"/>
    </xf>
    <xf numFmtId="0" fontId="7" fillId="4" borderId="111" xfId="0" applyFont="1" applyFill="1" applyBorder="1" applyAlignment="1">
      <alignment horizontal="left" vertical="center" wrapText="1" indent="1"/>
    </xf>
    <xf numFmtId="0" fontId="7" fillId="8" borderId="94" xfId="0" applyFont="1" applyFill="1" applyBorder="1" applyAlignment="1">
      <alignment horizontal="left" vertical="center" wrapText="1" indent="1"/>
    </xf>
    <xf numFmtId="0" fontId="6" fillId="0" borderId="112" xfId="0" applyFont="1" applyBorder="1"/>
    <xf numFmtId="0" fontId="7" fillId="8" borderId="27" xfId="0" applyFont="1" applyFill="1" applyBorder="1" applyAlignment="1">
      <alignment horizontal="left" vertical="center" wrapText="1" indent="1"/>
    </xf>
    <xf numFmtId="0" fontId="7" fillId="8" borderId="46" xfId="0" applyFont="1" applyFill="1" applyBorder="1" applyAlignment="1">
      <alignment horizontal="left" vertical="center" wrapText="1" indent="3"/>
    </xf>
    <xf numFmtId="0" fontId="7" fillId="8" borderId="49" xfId="0" applyFont="1" applyFill="1" applyBorder="1" applyAlignment="1">
      <alignment horizontal="left" vertical="center" wrapText="1" indent="3"/>
    </xf>
    <xf numFmtId="0" fontId="6" fillId="8" borderId="46" xfId="0" applyFont="1" applyFill="1" applyBorder="1" applyAlignment="1">
      <alignment horizontal="left" vertical="center" wrapText="1" indent="3"/>
    </xf>
    <xf numFmtId="165" fontId="6" fillId="4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 wrapText="1"/>
    </xf>
    <xf numFmtId="0" fontId="6" fillId="4" borderId="37" xfId="0" applyFont="1" applyFill="1" applyBorder="1" applyAlignment="1">
      <alignment horizontal="left" vertical="center" wrapText="1" indent="1"/>
    </xf>
    <xf numFmtId="0" fontId="6" fillId="8" borderId="27" xfId="0" applyFont="1" applyFill="1" applyBorder="1" applyAlignment="1">
      <alignment horizontal="left" vertical="center" wrapText="1" indent="1"/>
    </xf>
    <xf numFmtId="0" fontId="6" fillId="8" borderId="11" xfId="0" applyFont="1" applyFill="1" applyBorder="1" applyAlignment="1">
      <alignment horizontal="left" vertical="center" wrapText="1" indent="1"/>
    </xf>
    <xf numFmtId="0" fontId="6" fillId="8" borderId="52" xfId="0" applyFont="1" applyFill="1" applyBorder="1" applyAlignment="1">
      <alignment horizontal="left" vertical="center" wrapText="1" indent="1"/>
    </xf>
    <xf numFmtId="0" fontId="6" fillId="8" borderId="37" xfId="0" applyFont="1" applyFill="1" applyBorder="1" applyAlignment="1">
      <alignment horizontal="left" vertical="center" wrapText="1" indent="1"/>
    </xf>
    <xf numFmtId="0" fontId="6" fillId="8" borderId="49" xfId="0" applyFont="1" applyFill="1" applyBorder="1" applyAlignment="1">
      <alignment horizontal="left" vertical="center" wrapText="1" indent="1"/>
    </xf>
    <xf numFmtId="0" fontId="7" fillId="8" borderId="52" xfId="0" applyFont="1" applyFill="1" applyBorder="1" applyAlignment="1">
      <alignment horizontal="left" vertical="center" wrapText="1" indent="1"/>
    </xf>
    <xf numFmtId="0" fontId="0" fillId="4" borderId="94" xfId="0" applyFill="1" applyBorder="1" applyAlignment="1">
      <alignment horizontal="center" vertical="center" wrapText="1"/>
    </xf>
    <xf numFmtId="0" fontId="0" fillId="4" borderId="94" xfId="0" applyFill="1" applyBorder="1" applyAlignment="1">
      <alignment horizontal="center" vertical="center"/>
    </xf>
    <xf numFmtId="0" fontId="14" fillId="4" borderId="0" xfId="0" applyFont="1" applyFill="1"/>
    <xf numFmtId="0" fontId="15" fillId="9" borderId="0" xfId="0" applyFont="1" applyFill="1"/>
    <xf numFmtId="3" fontId="6" fillId="0" borderId="112" xfId="0" applyNumberFormat="1" applyFont="1" applyBorder="1" applyAlignment="1">
      <alignment horizontal="center" vertical="center" wrapText="1"/>
    </xf>
    <xf numFmtId="164" fontId="6" fillId="4" borderId="112" xfId="0" applyNumberFormat="1" applyFont="1" applyFill="1" applyBorder="1" applyAlignment="1">
      <alignment horizontal="center" vertical="center" wrapText="1"/>
    </xf>
    <xf numFmtId="164" fontId="6" fillId="5" borderId="112" xfId="0" applyNumberFormat="1" applyFont="1" applyFill="1" applyBorder="1" applyAlignment="1">
      <alignment horizontal="center" vertical="center" wrapText="1"/>
    </xf>
    <xf numFmtId="165" fontId="0" fillId="0" borderId="112" xfId="0" applyNumberFormat="1" applyBorder="1" applyAlignment="1">
      <alignment horizontal="center" vertical="center"/>
    </xf>
    <xf numFmtId="0" fontId="0" fillId="0" borderId="113" xfId="0" applyBorder="1" applyAlignment="1">
      <alignment horizontal="center" vertical="center" wrapText="1"/>
    </xf>
    <xf numFmtId="0" fontId="7" fillId="8" borderId="105" xfId="0" applyFont="1" applyFill="1" applyBorder="1" applyAlignment="1">
      <alignment horizontal="left" vertical="center" wrapText="1" indent="1"/>
    </xf>
    <xf numFmtId="0" fontId="15" fillId="5" borderId="0" xfId="0" applyFont="1" applyFill="1"/>
    <xf numFmtId="0" fontId="0" fillId="4" borderId="20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164" fontId="6" fillId="4" borderId="20" xfId="0" applyNumberFormat="1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/>
    </xf>
    <xf numFmtId="164" fontId="6" fillId="7" borderId="20" xfId="0" applyNumberFormat="1" applyFont="1" applyFill="1" applyBorder="1" applyAlignment="1">
      <alignment horizontal="center" vertical="center" wrapText="1"/>
    </xf>
    <xf numFmtId="164" fontId="6" fillId="7" borderId="17" xfId="0" applyNumberFormat="1" applyFont="1" applyFill="1" applyBorder="1" applyAlignment="1">
      <alignment horizontal="center" vertical="center" wrapText="1"/>
    </xf>
    <xf numFmtId="164" fontId="6" fillId="4" borderId="114" xfId="0" applyNumberFormat="1" applyFont="1" applyFill="1" applyBorder="1" applyAlignment="1">
      <alignment horizontal="center" vertical="center" wrapText="1"/>
    </xf>
    <xf numFmtId="164" fontId="6" fillId="4" borderId="17" xfId="0" applyNumberFormat="1" applyFont="1" applyFill="1" applyBorder="1" applyAlignment="1">
      <alignment horizontal="center" vertical="center" wrapText="1"/>
    </xf>
    <xf numFmtId="164" fontId="6" fillId="4" borderId="115" xfId="0" applyNumberFormat="1" applyFont="1" applyFill="1" applyBorder="1" applyAlignment="1">
      <alignment horizontal="center" vertical="center" wrapText="1"/>
    </xf>
    <xf numFmtId="164" fontId="6" fillId="4" borderId="116" xfId="0" applyNumberFormat="1" applyFont="1" applyFill="1" applyBorder="1" applyAlignment="1">
      <alignment horizontal="center" vertical="center" wrapText="1"/>
    </xf>
    <xf numFmtId="164" fontId="6" fillId="4" borderId="12" xfId="0" applyNumberFormat="1" applyFont="1" applyFill="1" applyBorder="1" applyAlignment="1">
      <alignment horizontal="center" vertical="center" wrapText="1"/>
    </xf>
    <xf numFmtId="165" fontId="0" fillId="4" borderId="0" xfId="0" applyNumberFormat="1" applyFill="1" applyAlignment="1">
      <alignment horizontal="center" vertical="center" wrapText="1"/>
    </xf>
    <xf numFmtId="165" fontId="6" fillId="4" borderId="20" xfId="0" applyNumberFormat="1" applyFont="1" applyFill="1" applyBorder="1" applyAlignment="1">
      <alignment horizontal="center" vertical="center" wrapText="1"/>
    </xf>
    <xf numFmtId="165" fontId="6" fillId="4" borderId="12" xfId="0" applyNumberFormat="1" applyFont="1" applyFill="1" applyBorder="1" applyAlignment="1">
      <alignment horizontal="center" vertical="center" wrapText="1"/>
    </xf>
    <xf numFmtId="165" fontId="6" fillId="4" borderId="17" xfId="0" applyNumberFormat="1" applyFont="1" applyFill="1" applyBorder="1" applyAlignment="1">
      <alignment horizontal="center" vertical="center" wrapText="1"/>
    </xf>
    <xf numFmtId="165" fontId="6" fillId="4" borderId="28" xfId="0" applyNumberFormat="1" applyFont="1" applyFill="1" applyBorder="1" applyAlignment="1">
      <alignment horizontal="center" vertical="center" wrapText="1"/>
    </xf>
    <xf numFmtId="165" fontId="6" fillId="4" borderId="117" xfId="0" applyNumberFormat="1" applyFont="1" applyFill="1" applyBorder="1" applyAlignment="1">
      <alignment horizontal="center" vertical="center" wrapText="1"/>
    </xf>
    <xf numFmtId="165" fontId="6" fillId="4" borderId="118" xfId="0" applyNumberFormat="1" applyFont="1" applyFill="1" applyBorder="1" applyAlignment="1">
      <alignment horizontal="center" vertical="center" wrapText="1"/>
    </xf>
    <xf numFmtId="164" fontId="7" fillId="4" borderId="20" xfId="0" applyNumberFormat="1" applyFont="1" applyFill="1" applyBorder="1" applyAlignment="1">
      <alignment horizontal="center" vertical="center" wrapText="1"/>
    </xf>
    <xf numFmtId="164" fontId="7" fillId="5" borderId="0" xfId="0" applyNumberFormat="1" applyFont="1" applyFill="1" applyAlignment="1">
      <alignment horizontal="center" vertical="center" wrapText="1"/>
    </xf>
    <xf numFmtId="164" fontId="6" fillId="5" borderId="0" xfId="0" applyNumberFormat="1" applyFont="1" applyFill="1" applyAlignment="1">
      <alignment horizontal="center" vertical="center" wrapText="1"/>
    </xf>
    <xf numFmtId="164" fontId="6" fillId="4" borderId="0" xfId="0" applyNumberFormat="1" applyFont="1" applyFill="1" applyAlignment="1">
      <alignment horizontal="center" vertical="center" wrapText="1"/>
    </xf>
    <xf numFmtId="164" fontId="0" fillId="5" borderId="121" xfId="0" applyNumberFormat="1" applyFill="1" applyBorder="1" applyAlignment="1">
      <alignment horizontal="center" vertical="center" wrapText="1"/>
    </xf>
    <xf numFmtId="164" fontId="6" fillId="5" borderId="122" xfId="0" applyNumberFormat="1" applyFont="1" applyFill="1" applyBorder="1" applyAlignment="1">
      <alignment horizontal="center" vertical="center" wrapText="1"/>
    </xf>
    <xf numFmtId="164" fontId="0" fillId="5" borderId="123" xfId="0" applyNumberFormat="1" applyFill="1" applyBorder="1" applyAlignment="1">
      <alignment horizontal="center" vertical="center" wrapText="1"/>
    </xf>
    <xf numFmtId="164" fontId="6" fillId="5" borderId="123" xfId="0" applyNumberFormat="1" applyFont="1" applyFill="1" applyBorder="1" applyAlignment="1">
      <alignment horizontal="center" vertical="center" wrapText="1"/>
    </xf>
    <xf numFmtId="164" fontId="6" fillId="7" borderId="123" xfId="0" applyNumberFormat="1" applyFont="1" applyFill="1" applyBorder="1" applyAlignment="1">
      <alignment horizontal="center" vertical="center" wrapText="1"/>
    </xf>
    <xf numFmtId="164" fontId="6" fillId="5" borderId="124" xfId="0" applyNumberFormat="1" applyFont="1" applyFill="1" applyBorder="1" applyAlignment="1">
      <alignment horizontal="center" vertical="center" wrapText="1"/>
    </xf>
    <xf numFmtId="164" fontId="6" fillId="5" borderId="125" xfId="0" applyNumberFormat="1" applyFont="1" applyFill="1" applyBorder="1" applyAlignment="1">
      <alignment horizontal="center" vertical="center" wrapText="1"/>
    </xf>
    <xf numFmtId="164" fontId="0" fillId="5" borderId="126" xfId="0" applyNumberFormat="1" applyFill="1" applyBorder="1" applyAlignment="1">
      <alignment horizontal="center" vertical="center" wrapText="1"/>
    </xf>
    <xf numFmtId="0" fontId="14" fillId="9" borderId="0" xfId="0" applyFont="1" applyFill="1"/>
    <xf numFmtId="0" fontId="14" fillId="0" borderId="0" xfId="0" applyFont="1"/>
    <xf numFmtId="0" fontId="14" fillId="9" borderId="0" xfId="0" applyFont="1" applyFill="1" applyAlignment="1">
      <alignment wrapText="1"/>
    </xf>
    <xf numFmtId="0" fontId="7" fillId="2" borderId="20" xfId="0" applyFont="1" applyFill="1" applyBorder="1" applyAlignment="1">
      <alignment horizontal="left" vertical="center" wrapText="1" indent="1"/>
    </xf>
    <xf numFmtId="0" fontId="7" fillId="4" borderId="132" xfId="0" applyFont="1" applyFill="1" applyBorder="1" applyAlignment="1">
      <alignment horizontal="left" vertical="center" wrapText="1" indent="1"/>
    </xf>
    <xf numFmtId="0" fontId="0" fillId="8" borderId="133" xfId="0" applyFill="1" applyBorder="1" applyAlignment="1">
      <alignment horizontal="left" vertical="center" wrapText="1" indent="1"/>
    </xf>
    <xf numFmtId="0" fontId="7" fillId="8" borderId="134" xfId="0" applyFont="1" applyFill="1" applyBorder="1" applyAlignment="1">
      <alignment horizontal="left" vertical="center" wrapText="1" indent="1"/>
    </xf>
    <xf numFmtId="0" fontId="7" fillId="8" borderId="132" xfId="0" applyFont="1" applyFill="1" applyBorder="1" applyAlignment="1">
      <alignment horizontal="left" vertical="center" wrapText="1" indent="1"/>
    </xf>
    <xf numFmtId="0" fontId="0" fillId="8" borderId="132" xfId="0" applyFill="1" applyBorder="1" applyAlignment="1">
      <alignment horizontal="left" vertical="center" wrapText="1" indent="1"/>
    </xf>
    <xf numFmtId="0" fontId="7" fillId="8" borderId="135" xfId="0" applyFont="1" applyFill="1" applyBorder="1" applyAlignment="1">
      <alignment horizontal="left" vertical="center" wrapText="1" indent="1"/>
    </xf>
    <xf numFmtId="0" fontId="7" fillId="4" borderId="133" xfId="0" applyFont="1" applyFill="1" applyBorder="1" applyAlignment="1">
      <alignment horizontal="left" vertical="center" wrapText="1" indent="1"/>
    </xf>
    <xf numFmtId="0" fontId="7" fillId="4" borderId="136" xfId="0" applyFont="1" applyFill="1" applyBorder="1" applyAlignment="1">
      <alignment horizontal="left" vertical="center" wrapText="1" indent="1"/>
    </xf>
    <xf numFmtId="0" fontId="0" fillId="8" borderId="20" xfId="0" applyFill="1" applyBorder="1" applyAlignment="1">
      <alignment horizontal="left" vertical="center" wrapText="1" indent="1"/>
    </xf>
    <xf numFmtId="0" fontId="7" fillId="2" borderId="132" xfId="0" applyFont="1" applyFill="1" applyBorder="1" applyAlignment="1">
      <alignment horizontal="left" vertical="center" wrapText="1" indent="1"/>
    </xf>
    <xf numFmtId="0" fontId="0" fillId="0" borderId="132" xfId="0" applyBorder="1" applyAlignment="1">
      <alignment horizontal="left" vertical="center" wrapText="1" indent="1"/>
    </xf>
    <xf numFmtId="0" fontId="7" fillId="4" borderId="135" xfId="0" applyFont="1" applyFill="1" applyBorder="1" applyAlignment="1">
      <alignment horizontal="left" vertical="center" wrapText="1" indent="1"/>
    </xf>
    <xf numFmtId="0" fontId="0" fillId="0" borderId="12" xfId="0" applyBorder="1" applyAlignment="1">
      <alignment horizontal="left" vertical="center" wrapText="1" indent="1"/>
    </xf>
    <xf numFmtId="0" fontId="0" fillId="8" borderId="137" xfId="0" applyFill="1" applyBorder="1" applyAlignment="1">
      <alignment horizontal="left" vertical="center" wrapText="1" indent="1"/>
    </xf>
    <xf numFmtId="0" fontId="7" fillId="4" borderId="20" xfId="0" applyFont="1" applyFill="1" applyBorder="1" applyAlignment="1">
      <alignment horizontal="left" vertical="center" wrapText="1" indent="1"/>
    </xf>
    <xf numFmtId="0" fontId="0" fillId="8" borderId="17" xfId="0" applyFill="1" applyBorder="1" applyAlignment="1">
      <alignment horizontal="left" vertical="center" wrapText="1" indent="1"/>
    </xf>
    <xf numFmtId="0" fontId="7" fillId="4" borderId="0" xfId="0" applyFont="1" applyFill="1" applyAlignment="1">
      <alignment horizontal="left" vertical="center" wrapText="1" indent="1"/>
    </xf>
    <xf numFmtId="0" fontId="7" fillId="8" borderId="114" xfId="0" applyFont="1" applyFill="1" applyBorder="1" applyAlignment="1">
      <alignment horizontal="left" vertical="center" wrapText="1" indent="1"/>
    </xf>
    <xf numFmtId="0" fontId="7" fillId="4" borderId="115" xfId="0" applyFont="1" applyFill="1" applyBorder="1" applyAlignment="1">
      <alignment horizontal="left" vertical="center" wrapText="1" indent="1"/>
    </xf>
    <xf numFmtId="0" fontId="7" fillId="4" borderId="116" xfId="0" applyFont="1" applyFill="1" applyBorder="1" applyAlignment="1">
      <alignment horizontal="left" vertical="center" wrapText="1" indent="1"/>
    </xf>
    <xf numFmtId="0" fontId="0" fillId="8" borderId="115" xfId="0" applyFill="1" applyBorder="1" applyAlignment="1">
      <alignment horizontal="left" vertical="center" wrapText="1" indent="1"/>
    </xf>
    <xf numFmtId="0" fontId="0" fillId="8" borderId="12" xfId="0" applyFill="1" applyBorder="1" applyAlignment="1">
      <alignment horizontal="left" vertical="center" wrapText="1" indent="1"/>
    </xf>
    <xf numFmtId="0" fontId="7" fillId="4" borderId="17" xfId="0" applyFont="1" applyFill="1" applyBorder="1" applyAlignment="1">
      <alignment horizontal="left" vertical="center" wrapText="1" indent="1"/>
    </xf>
    <xf numFmtId="0" fontId="6" fillId="4" borderId="116" xfId="0" applyFont="1" applyFill="1" applyBorder="1" applyAlignment="1">
      <alignment horizontal="left" vertical="center" wrapText="1" indent="1"/>
    </xf>
    <xf numFmtId="0" fontId="6" fillId="4" borderId="12" xfId="0" applyFont="1" applyFill="1" applyBorder="1" applyAlignment="1">
      <alignment horizontal="left" vertical="center" wrapText="1" indent="1"/>
    </xf>
    <xf numFmtId="0" fontId="7" fillId="8" borderId="115" xfId="0" applyFont="1" applyFill="1" applyBorder="1" applyAlignment="1">
      <alignment horizontal="left" vertical="center" wrapText="1" indent="1"/>
    </xf>
    <xf numFmtId="0" fontId="6" fillId="0" borderId="20" xfId="0" applyFont="1" applyBorder="1" applyAlignment="1">
      <alignment horizontal="left" vertical="center" wrapText="1" indent="1"/>
    </xf>
    <xf numFmtId="0" fontId="7" fillId="0" borderId="20" xfId="0" applyFont="1" applyBorder="1" applyAlignment="1">
      <alignment horizontal="left" vertical="center" wrapText="1" indent="1"/>
    </xf>
    <xf numFmtId="0" fontId="7" fillId="0" borderId="137" xfId="0" applyFont="1" applyBorder="1" applyAlignment="1">
      <alignment horizontal="left" vertical="center" wrapText="1" indent="1"/>
    </xf>
    <xf numFmtId="0" fontId="7" fillId="5" borderId="17" xfId="0" applyFont="1" applyFill="1" applyBorder="1" applyAlignment="1">
      <alignment horizontal="left" vertical="center" wrapText="1" indent="1"/>
    </xf>
    <xf numFmtId="0" fontId="6" fillId="5" borderId="17" xfId="0" applyFont="1" applyFill="1" applyBorder="1" applyAlignment="1">
      <alignment horizontal="left" vertical="center" wrapText="1" indent="3"/>
    </xf>
    <xf numFmtId="0" fontId="7" fillId="4" borderId="17" xfId="0" applyFont="1" applyFill="1" applyBorder="1" applyAlignment="1">
      <alignment horizontal="left" vertical="center" wrapText="1" indent="3"/>
    </xf>
    <xf numFmtId="0" fontId="7" fillId="8" borderId="17" xfId="0" applyFont="1" applyFill="1" applyBorder="1" applyAlignment="1">
      <alignment horizontal="left" vertical="center" wrapText="1" indent="1"/>
    </xf>
    <xf numFmtId="0" fontId="7" fillId="8" borderId="28" xfId="0" applyFont="1" applyFill="1" applyBorder="1" applyAlignment="1">
      <alignment horizontal="left" vertical="center" wrapText="1" indent="1"/>
    </xf>
    <xf numFmtId="0" fontId="7" fillId="8" borderId="117" xfId="0" applyFont="1" applyFill="1" applyBorder="1" applyAlignment="1">
      <alignment horizontal="left" vertical="center" wrapText="1" indent="3"/>
    </xf>
    <xf numFmtId="0" fontId="7" fillId="8" borderId="118" xfId="0" applyFont="1" applyFill="1" applyBorder="1" applyAlignment="1">
      <alignment horizontal="left" vertical="center" wrapText="1" indent="3"/>
    </xf>
    <xf numFmtId="0" fontId="6" fillId="8" borderId="28" xfId="0" applyFont="1" applyFill="1" applyBorder="1" applyAlignment="1">
      <alignment horizontal="left" vertical="center" wrapText="1" indent="1"/>
    </xf>
    <xf numFmtId="0" fontId="6" fillId="8" borderId="117" xfId="0" applyFont="1" applyFill="1" applyBorder="1" applyAlignment="1">
      <alignment horizontal="left" vertical="center" wrapText="1" indent="3"/>
    </xf>
    <xf numFmtId="0" fontId="6" fillId="8" borderId="17" xfId="0" applyFont="1" applyFill="1" applyBorder="1" applyAlignment="1">
      <alignment horizontal="left" vertical="center" wrapText="1" indent="1"/>
    </xf>
    <xf numFmtId="0" fontId="6" fillId="8" borderId="137" xfId="0" applyFont="1" applyFill="1" applyBorder="1" applyAlignment="1">
      <alignment horizontal="left" vertical="center" wrapText="1" indent="1"/>
    </xf>
    <xf numFmtId="0" fontId="6" fillId="8" borderId="0" xfId="0" applyFont="1" applyFill="1" applyAlignment="1">
      <alignment horizontal="left" vertical="center" wrapText="1" indent="1"/>
    </xf>
    <xf numFmtId="0" fontId="6" fillId="8" borderId="118" xfId="0" applyFont="1" applyFill="1" applyBorder="1" applyAlignment="1">
      <alignment horizontal="left" vertical="center" wrapText="1" indent="1"/>
    </xf>
    <xf numFmtId="0" fontId="6" fillId="4" borderId="0" xfId="0" applyFont="1" applyFill="1" applyAlignment="1">
      <alignment horizontal="left" vertical="center" wrapText="1" indent="1"/>
    </xf>
    <xf numFmtId="0" fontId="7" fillId="8" borderId="137" xfId="0" applyFont="1" applyFill="1" applyBorder="1" applyAlignment="1">
      <alignment horizontal="left" vertical="center" wrapText="1" indent="1"/>
    </xf>
    <xf numFmtId="0" fontId="6" fillId="0" borderId="17" xfId="0" applyFont="1" applyBorder="1" applyAlignment="1">
      <alignment horizontal="left" vertical="center" wrapText="1" indent="1"/>
    </xf>
    <xf numFmtId="0" fontId="6" fillId="0" borderId="137" xfId="0" applyFont="1" applyBorder="1" applyAlignment="1">
      <alignment horizontal="left" vertical="center" wrapText="1" indent="1"/>
    </xf>
    <xf numFmtId="0" fontId="6" fillId="0" borderId="28" xfId="0" applyFont="1" applyBorder="1" applyAlignment="1">
      <alignment horizontal="left" vertical="center" wrapText="1" indent="1"/>
    </xf>
    <xf numFmtId="0" fontId="6" fillId="0" borderId="117" xfId="0" applyFont="1" applyBorder="1" applyAlignment="1">
      <alignment horizontal="left" vertical="center" wrapText="1" indent="4"/>
    </xf>
    <xf numFmtId="0" fontId="7" fillId="2" borderId="17" xfId="0" applyFont="1" applyFill="1" applyBorder="1" applyAlignment="1">
      <alignment horizontal="left" vertical="center" wrapText="1" indent="1"/>
    </xf>
    <xf numFmtId="0" fontId="7" fillId="3" borderId="28" xfId="0" applyFont="1" applyFill="1" applyBorder="1" applyAlignment="1">
      <alignment horizontal="left" vertical="center" wrapText="1" indent="2"/>
    </xf>
    <xf numFmtId="0" fontId="6" fillId="0" borderId="138" xfId="0" applyFont="1" applyBorder="1" applyAlignment="1">
      <alignment horizontal="left" vertical="center" wrapText="1" indent="4"/>
    </xf>
    <xf numFmtId="0" fontId="6" fillId="0" borderId="139" xfId="0" applyFont="1" applyBorder="1" applyAlignment="1">
      <alignment horizontal="left" vertical="center" wrapText="1" indent="4"/>
    </xf>
    <xf numFmtId="0" fontId="6" fillId="0" borderId="118" xfId="0" applyFont="1" applyBorder="1" applyAlignment="1">
      <alignment horizontal="left" vertical="center" wrapText="1" indent="4"/>
    </xf>
    <xf numFmtId="165" fontId="7" fillId="2" borderId="20" xfId="0" applyNumberFormat="1" applyFont="1" applyFill="1" applyBorder="1" applyAlignment="1">
      <alignment horizontal="left" vertical="center" wrapText="1" indent="1"/>
    </xf>
    <xf numFmtId="165" fontId="0" fillId="0" borderId="0" xfId="0" applyNumberFormat="1" applyAlignment="1">
      <alignment horizontal="left" vertical="center" wrapText="1" indent="1"/>
    </xf>
    <xf numFmtId="165" fontId="7" fillId="4" borderId="132" xfId="0" applyNumberFormat="1" applyFont="1" applyFill="1" applyBorder="1" applyAlignment="1">
      <alignment horizontal="left" vertical="center" wrapText="1" indent="1"/>
    </xf>
    <xf numFmtId="165" fontId="0" fillId="8" borderId="133" xfId="0" applyNumberFormat="1" applyFill="1" applyBorder="1" applyAlignment="1">
      <alignment horizontal="left" vertical="center" wrapText="1" indent="1"/>
    </xf>
    <xf numFmtId="165" fontId="7" fillId="8" borderId="134" xfId="0" applyNumberFormat="1" applyFont="1" applyFill="1" applyBorder="1" applyAlignment="1">
      <alignment horizontal="left" vertical="center" wrapText="1" indent="1"/>
    </xf>
    <xf numFmtId="165" fontId="7" fillId="8" borderId="132" xfId="0" applyNumberFormat="1" applyFont="1" applyFill="1" applyBorder="1" applyAlignment="1">
      <alignment horizontal="left" vertical="center" wrapText="1" indent="1"/>
    </xf>
    <xf numFmtId="165" fontId="0" fillId="8" borderId="132" xfId="0" applyNumberFormat="1" applyFill="1" applyBorder="1" applyAlignment="1">
      <alignment horizontal="left" vertical="center" wrapText="1" indent="1"/>
    </xf>
    <xf numFmtId="165" fontId="7" fillId="8" borderId="135" xfId="0" applyNumberFormat="1" applyFont="1" applyFill="1" applyBorder="1" applyAlignment="1">
      <alignment horizontal="left" vertical="center" wrapText="1" indent="1"/>
    </xf>
    <xf numFmtId="165" fontId="7" fillId="4" borderId="133" xfId="0" applyNumberFormat="1" applyFont="1" applyFill="1" applyBorder="1" applyAlignment="1">
      <alignment horizontal="left" vertical="center" wrapText="1" indent="1"/>
    </xf>
    <xf numFmtId="165" fontId="7" fillId="4" borderId="136" xfId="0" applyNumberFormat="1" applyFont="1" applyFill="1" applyBorder="1" applyAlignment="1">
      <alignment horizontal="left" vertical="center" wrapText="1" indent="1"/>
    </xf>
    <xf numFmtId="165" fontId="0" fillId="8" borderId="20" xfId="0" applyNumberFormat="1" applyFill="1" applyBorder="1" applyAlignment="1">
      <alignment horizontal="left" vertical="center" wrapText="1" indent="1"/>
    </xf>
    <xf numFmtId="165" fontId="7" fillId="2" borderId="132" xfId="0" applyNumberFormat="1" applyFont="1" applyFill="1" applyBorder="1" applyAlignment="1">
      <alignment horizontal="left" vertical="center" wrapText="1" indent="1"/>
    </xf>
    <xf numFmtId="165" fontId="0" fillId="0" borderId="132" xfId="0" applyNumberFormat="1" applyBorder="1" applyAlignment="1">
      <alignment horizontal="left" vertical="center" wrapText="1" indent="1"/>
    </xf>
    <xf numFmtId="165" fontId="7" fillId="4" borderId="135" xfId="0" applyNumberFormat="1" applyFont="1" applyFill="1" applyBorder="1" applyAlignment="1">
      <alignment horizontal="left" vertical="center" wrapText="1" indent="1"/>
    </xf>
    <xf numFmtId="165" fontId="0" fillId="0" borderId="12" xfId="0" applyNumberFormat="1" applyBorder="1" applyAlignment="1">
      <alignment horizontal="left" vertical="center" wrapText="1" indent="1"/>
    </xf>
    <xf numFmtId="165" fontId="0" fillId="8" borderId="137" xfId="0" applyNumberFormat="1" applyFill="1" applyBorder="1" applyAlignment="1">
      <alignment horizontal="left" vertical="center" wrapText="1" indent="1"/>
    </xf>
    <xf numFmtId="165" fontId="7" fillId="4" borderId="20" xfId="0" applyNumberFormat="1" applyFont="1" applyFill="1" applyBorder="1" applyAlignment="1">
      <alignment horizontal="left" vertical="center" wrapText="1" indent="1"/>
    </xf>
    <xf numFmtId="165" fontId="0" fillId="8" borderId="17" xfId="0" applyNumberFormat="1" applyFill="1" applyBorder="1" applyAlignment="1">
      <alignment horizontal="left" vertical="center" wrapText="1" indent="1"/>
    </xf>
    <xf numFmtId="165" fontId="7" fillId="4" borderId="0" xfId="0" applyNumberFormat="1" applyFont="1" applyFill="1" applyAlignment="1">
      <alignment horizontal="left" vertical="center" wrapText="1" indent="1"/>
    </xf>
    <xf numFmtId="165" fontId="7" fillId="8" borderId="114" xfId="0" applyNumberFormat="1" applyFont="1" applyFill="1" applyBorder="1" applyAlignment="1">
      <alignment horizontal="left" vertical="center" wrapText="1" indent="1"/>
    </xf>
    <xf numFmtId="165" fontId="7" fillId="4" borderId="115" xfId="0" applyNumberFormat="1" applyFont="1" applyFill="1" applyBorder="1" applyAlignment="1">
      <alignment horizontal="left" vertical="center" wrapText="1" indent="1"/>
    </xf>
    <xf numFmtId="165" fontId="7" fillId="4" borderId="116" xfId="0" applyNumberFormat="1" applyFont="1" applyFill="1" applyBorder="1" applyAlignment="1">
      <alignment horizontal="left" vertical="center" wrapText="1" indent="1"/>
    </xf>
    <xf numFmtId="165" fontId="0" fillId="8" borderId="115" xfId="0" applyNumberFormat="1" applyFill="1" applyBorder="1" applyAlignment="1">
      <alignment horizontal="left" vertical="center" wrapText="1" indent="1"/>
    </xf>
    <xf numFmtId="165" fontId="0" fillId="8" borderId="12" xfId="0" applyNumberFormat="1" applyFill="1" applyBorder="1" applyAlignment="1">
      <alignment horizontal="left" vertical="center" wrapText="1" indent="1"/>
    </xf>
    <xf numFmtId="165" fontId="7" fillId="4" borderId="17" xfId="0" applyNumberFormat="1" applyFont="1" applyFill="1" applyBorder="1" applyAlignment="1">
      <alignment horizontal="left" vertical="center" wrapText="1" indent="1"/>
    </xf>
    <xf numFmtId="165" fontId="6" fillId="4" borderId="116" xfId="0" applyNumberFormat="1" applyFont="1" applyFill="1" applyBorder="1" applyAlignment="1">
      <alignment horizontal="left" vertical="center" wrapText="1" indent="1"/>
    </xf>
    <xf numFmtId="165" fontId="6" fillId="4" borderId="12" xfId="0" applyNumberFormat="1" applyFont="1" applyFill="1" applyBorder="1" applyAlignment="1">
      <alignment horizontal="left" vertical="center" wrapText="1" indent="1"/>
    </xf>
    <xf numFmtId="165" fontId="7" fillId="8" borderId="115" xfId="0" applyNumberFormat="1" applyFont="1" applyFill="1" applyBorder="1" applyAlignment="1">
      <alignment horizontal="left" vertical="center" wrapText="1" indent="1"/>
    </xf>
    <xf numFmtId="165" fontId="6" fillId="0" borderId="20" xfId="0" applyNumberFormat="1" applyFont="1" applyBorder="1" applyAlignment="1">
      <alignment horizontal="left" vertical="center" wrapText="1" indent="1"/>
    </xf>
    <xf numFmtId="165" fontId="7" fillId="0" borderId="20" xfId="0" applyNumberFormat="1" applyFont="1" applyBorder="1" applyAlignment="1">
      <alignment horizontal="left" vertical="center" wrapText="1" indent="1"/>
    </xf>
    <xf numFmtId="165" fontId="7" fillId="0" borderId="137" xfId="0" applyNumberFormat="1" applyFont="1" applyBorder="1" applyAlignment="1">
      <alignment horizontal="left" vertical="center" wrapText="1" indent="1"/>
    </xf>
    <xf numFmtId="165" fontId="7" fillId="5" borderId="17" xfId="0" applyNumberFormat="1" applyFont="1" applyFill="1" applyBorder="1" applyAlignment="1">
      <alignment horizontal="left" vertical="center" wrapText="1" indent="1"/>
    </xf>
    <xf numFmtId="165" fontId="6" fillId="5" borderId="17" xfId="0" applyNumberFormat="1" applyFont="1" applyFill="1" applyBorder="1" applyAlignment="1">
      <alignment horizontal="left" vertical="center" wrapText="1" indent="3"/>
    </xf>
    <xf numFmtId="165" fontId="7" fillId="4" borderId="17" xfId="0" applyNumberFormat="1" applyFont="1" applyFill="1" applyBorder="1" applyAlignment="1">
      <alignment horizontal="left" vertical="center" wrapText="1" indent="3"/>
    </xf>
    <xf numFmtId="165" fontId="7" fillId="8" borderId="17" xfId="0" applyNumberFormat="1" applyFont="1" applyFill="1" applyBorder="1" applyAlignment="1">
      <alignment horizontal="left" vertical="center" wrapText="1" indent="1"/>
    </xf>
    <xf numFmtId="165" fontId="7" fillId="8" borderId="28" xfId="0" applyNumberFormat="1" applyFont="1" applyFill="1" applyBorder="1" applyAlignment="1">
      <alignment horizontal="left" vertical="center" wrapText="1" indent="1"/>
    </xf>
    <xf numFmtId="165" fontId="7" fillId="8" borderId="117" xfId="0" applyNumberFormat="1" applyFont="1" applyFill="1" applyBorder="1" applyAlignment="1">
      <alignment horizontal="left" vertical="center" wrapText="1" indent="3"/>
    </xf>
    <xf numFmtId="165" fontId="7" fillId="8" borderId="118" xfId="0" applyNumberFormat="1" applyFont="1" applyFill="1" applyBorder="1" applyAlignment="1">
      <alignment horizontal="left" vertical="center" wrapText="1" indent="3"/>
    </xf>
    <xf numFmtId="165" fontId="6" fillId="8" borderId="28" xfId="0" applyNumberFormat="1" applyFont="1" applyFill="1" applyBorder="1" applyAlignment="1">
      <alignment horizontal="left" vertical="center" wrapText="1" indent="1"/>
    </xf>
    <xf numFmtId="165" fontId="6" fillId="8" borderId="117" xfId="0" applyNumberFormat="1" applyFont="1" applyFill="1" applyBorder="1" applyAlignment="1">
      <alignment horizontal="left" vertical="center" wrapText="1" indent="3"/>
    </xf>
    <xf numFmtId="165" fontId="6" fillId="8" borderId="17" xfId="0" applyNumberFormat="1" applyFont="1" applyFill="1" applyBorder="1" applyAlignment="1">
      <alignment horizontal="left" vertical="center" wrapText="1" indent="1"/>
    </xf>
    <xf numFmtId="165" fontId="6" fillId="8" borderId="137" xfId="0" applyNumberFormat="1" applyFont="1" applyFill="1" applyBorder="1" applyAlignment="1">
      <alignment horizontal="left" vertical="center" wrapText="1" indent="1"/>
    </xf>
    <xf numFmtId="165" fontId="2" fillId="2" borderId="3" xfId="0" applyNumberFormat="1" applyFont="1" applyFill="1" applyBorder="1" applyAlignment="1">
      <alignment horizontal="center" vertical="center" wrapText="1"/>
    </xf>
    <xf numFmtId="165" fontId="6" fillId="8" borderId="0" xfId="0" applyNumberFormat="1" applyFont="1" applyFill="1" applyAlignment="1">
      <alignment horizontal="left" vertical="center" wrapText="1" indent="1"/>
    </xf>
    <xf numFmtId="165" fontId="6" fillId="8" borderId="118" xfId="0" applyNumberFormat="1" applyFont="1" applyFill="1" applyBorder="1" applyAlignment="1">
      <alignment horizontal="left" vertical="center" wrapText="1" indent="1"/>
    </xf>
    <xf numFmtId="165" fontId="6" fillId="4" borderId="0" xfId="0" applyNumberFormat="1" applyFont="1" applyFill="1" applyAlignment="1">
      <alignment horizontal="left" vertical="center" wrapText="1" indent="1"/>
    </xf>
    <xf numFmtId="165" fontId="7" fillId="8" borderId="137" xfId="0" applyNumberFormat="1" applyFont="1" applyFill="1" applyBorder="1" applyAlignment="1">
      <alignment horizontal="left" vertical="center" wrapText="1" indent="1"/>
    </xf>
    <xf numFmtId="165" fontId="6" fillId="0" borderId="17" xfId="0" applyNumberFormat="1" applyFont="1" applyBorder="1" applyAlignment="1">
      <alignment horizontal="left" vertical="center" wrapText="1" indent="1"/>
    </xf>
    <xf numFmtId="165" fontId="6" fillId="0" borderId="137" xfId="0" applyNumberFormat="1" applyFont="1" applyBorder="1" applyAlignment="1">
      <alignment horizontal="left" vertical="center" wrapText="1" indent="1"/>
    </xf>
    <xf numFmtId="165" fontId="6" fillId="0" borderId="28" xfId="0" applyNumberFormat="1" applyFont="1" applyBorder="1" applyAlignment="1">
      <alignment horizontal="left" vertical="center" wrapText="1" indent="1"/>
    </xf>
    <xf numFmtId="165" fontId="6" fillId="0" borderId="117" xfId="0" applyNumberFormat="1" applyFont="1" applyBorder="1" applyAlignment="1">
      <alignment horizontal="left" vertical="center" wrapText="1" indent="4"/>
    </xf>
    <xf numFmtId="165" fontId="7" fillId="2" borderId="17" xfId="0" applyNumberFormat="1" applyFont="1" applyFill="1" applyBorder="1" applyAlignment="1">
      <alignment horizontal="left" vertical="center" wrapText="1" indent="1"/>
    </xf>
    <xf numFmtId="165" fontId="7" fillId="3" borderId="28" xfId="0" applyNumberFormat="1" applyFont="1" applyFill="1" applyBorder="1" applyAlignment="1">
      <alignment horizontal="left" vertical="center" wrapText="1" indent="2"/>
    </xf>
    <xf numFmtId="165" fontId="6" fillId="0" borderId="138" xfId="0" applyNumberFormat="1" applyFont="1" applyBorder="1" applyAlignment="1">
      <alignment horizontal="left" vertical="center" wrapText="1" indent="4"/>
    </xf>
    <xf numFmtId="165" fontId="6" fillId="0" borderId="139" xfId="0" applyNumberFormat="1" applyFont="1" applyBorder="1" applyAlignment="1">
      <alignment horizontal="left" vertical="center" wrapText="1" indent="4"/>
    </xf>
    <xf numFmtId="165" fontId="6" fillId="0" borderId="118" xfId="0" applyNumberFormat="1" applyFont="1" applyBorder="1" applyAlignment="1">
      <alignment horizontal="left" vertical="center" wrapText="1" indent="4"/>
    </xf>
    <xf numFmtId="0" fontId="0" fillId="8" borderId="37" xfId="0" applyFill="1" applyBorder="1" applyAlignment="1">
      <alignment horizontal="left" vertical="center" wrapText="1" indent="1"/>
    </xf>
    <xf numFmtId="0" fontId="0" fillId="8" borderId="0" xfId="0" applyFill="1" applyAlignment="1">
      <alignment horizontal="left" vertical="center" wrapText="1" indent="1"/>
    </xf>
    <xf numFmtId="165" fontId="0" fillId="8" borderId="0" xfId="0" applyNumberFormat="1" applyFill="1" applyAlignment="1">
      <alignment horizontal="left" vertical="center" wrapText="1" indent="1"/>
    </xf>
    <xf numFmtId="0" fontId="7" fillId="8" borderId="81" xfId="0" applyFont="1" applyFill="1" applyBorder="1" applyAlignment="1">
      <alignment horizontal="left" vertical="center" wrapText="1" indent="1"/>
    </xf>
    <xf numFmtId="164" fontId="6" fillId="7" borderId="93" xfId="0" applyNumberFormat="1" applyFont="1" applyFill="1" applyBorder="1" applyAlignment="1">
      <alignment horizontal="center" vertical="center" wrapText="1"/>
    </xf>
    <xf numFmtId="0" fontId="15" fillId="7" borderId="0" xfId="0" applyFont="1" applyFill="1"/>
    <xf numFmtId="164" fontId="6" fillId="7" borderId="98" xfId="0" applyNumberFormat="1" applyFont="1" applyFill="1" applyBorder="1" applyAlignment="1">
      <alignment horizontal="center" vertical="center" wrapText="1"/>
    </xf>
    <xf numFmtId="164" fontId="6" fillId="7" borderId="127" xfId="0" applyNumberFormat="1" applyFont="1" applyFill="1" applyBorder="1" applyAlignment="1">
      <alignment horizontal="center" vertical="center" wrapText="1"/>
    </xf>
    <xf numFmtId="164" fontId="6" fillId="7" borderId="126" xfId="0" applyNumberFormat="1" applyFont="1" applyFill="1" applyBorder="1" applyAlignment="1">
      <alignment horizontal="center" vertical="center" wrapText="1"/>
    </xf>
    <xf numFmtId="164" fontId="6" fillId="7" borderId="128" xfId="0" applyNumberFormat="1" applyFont="1" applyFill="1" applyBorder="1" applyAlignment="1">
      <alignment horizontal="center" vertical="center" wrapText="1"/>
    </xf>
    <xf numFmtId="165" fontId="6" fillId="4" borderId="6" xfId="0" applyNumberFormat="1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vertical="center"/>
    </xf>
    <xf numFmtId="0" fontId="8" fillId="2" borderId="39" xfId="0" applyFont="1" applyFill="1" applyBorder="1" applyAlignment="1">
      <alignment vertical="center"/>
    </xf>
    <xf numFmtId="0" fontId="6" fillId="5" borderId="20" xfId="0" applyFont="1" applyFill="1" applyBorder="1" applyAlignment="1">
      <alignment horizontal="center" vertical="center" wrapText="1"/>
    </xf>
    <xf numFmtId="0" fontId="6" fillId="5" borderId="21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5" borderId="32" xfId="0" applyFont="1" applyFill="1" applyBorder="1" applyAlignment="1">
      <alignment horizontal="center" vertical="center" wrapText="1"/>
    </xf>
    <xf numFmtId="0" fontId="6" fillId="5" borderId="33" xfId="0" applyFont="1" applyFill="1" applyBorder="1" applyAlignment="1">
      <alignment horizontal="center" vertical="center" wrapText="1"/>
    </xf>
    <xf numFmtId="164" fontId="6" fillId="5" borderId="17" xfId="0" applyNumberFormat="1" applyFont="1" applyFill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6" fillId="6" borderId="20" xfId="0" applyFont="1" applyFill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6" fillId="6" borderId="32" xfId="0" applyFont="1" applyFill="1" applyBorder="1" applyAlignment="1">
      <alignment horizontal="center" vertical="center" wrapText="1"/>
    </xf>
    <xf numFmtId="0" fontId="6" fillId="6" borderId="33" xfId="0" applyFont="1" applyFill="1" applyBorder="1" applyAlignment="1">
      <alignment horizontal="center" vertical="center" wrapText="1"/>
    </xf>
    <xf numFmtId="164" fontId="6" fillId="5" borderId="20" xfId="0" applyNumberFormat="1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164" fontId="0" fillId="5" borderId="28" xfId="0" applyNumberFormat="1" applyFill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 wrapText="1"/>
    </xf>
    <xf numFmtId="0" fontId="0" fillId="5" borderId="29" xfId="0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left" vertical="center" wrapText="1" indent="1"/>
    </xf>
    <xf numFmtId="0" fontId="0" fillId="0" borderId="70" xfId="0" applyBorder="1" applyAlignment="1">
      <alignment horizontal="left" vertical="center" wrapText="1" indent="1"/>
    </xf>
    <xf numFmtId="0" fontId="6" fillId="6" borderId="41" xfId="0" applyFont="1" applyFill="1" applyBorder="1" applyAlignment="1">
      <alignment horizontal="center" vertical="center" wrapText="1"/>
    </xf>
    <xf numFmtId="0" fontId="6" fillId="6" borderId="119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129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6" borderId="70" xfId="0" applyFont="1" applyFill="1" applyBorder="1" applyAlignment="1">
      <alignment horizontal="center" vertical="center" wrapText="1"/>
    </xf>
    <xf numFmtId="0" fontId="6" fillId="6" borderId="120" xfId="0" applyFont="1" applyFill="1" applyBorder="1" applyAlignment="1">
      <alignment horizontal="center" vertical="center" wrapText="1"/>
    </xf>
    <xf numFmtId="0" fontId="6" fillId="6" borderId="42" xfId="0" applyFont="1" applyFill="1" applyBorder="1" applyAlignment="1">
      <alignment horizontal="center" vertical="center" wrapText="1"/>
    </xf>
    <xf numFmtId="0" fontId="6" fillId="6" borderId="130" xfId="0" applyFont="1" applyFill="1" applyBorder="1" applyAlignment="1">
      <alignment horizontal="center" vertical="center" wrapText="1"/>
    </xf>
    <xf numFmtId="0" fontId="6" fillId="6" borderId="43" xfId="0" applyFont="1" applyFill="1" applyBorder="1" applyAlignment="1">
      <alignment horizontal="center" vertical="center" wrapText="1"/>
    </xf>
    <xf numFmtId="0" fontId="0" fillId="4" borderId="68" xfId="0" applyFill="1" applyBorder="1" applyAlignment="1">
      <alignment horizontal="center" vertical="center" wrapText="1"/>
    </xf>
    <xf numFmtId="0" fontId="0" fillId="4" borderId="75" xfId="0" applyFill="1" applyBorder="1" applyAlignment="1">
      <alignment horizontal="center" vertical="center"/>
    </xf>
    <xf numFmtId="0" fontId="0" fillId="4" borderId="94" xfId="0" applyFill="1" applyBorder="1" applyAlignment="1">
      <alignment horizontal="center" vertical="center" wrapText="1"/>
    </xf>
    <xf numFmtId="0" fontId="0" fillId="4" borderId="94" xfId="0" applyFill="1" applyBorder="1" applyAlignment="1">
      <alignment horizontal="center" vertical="center"/>
    </xf>
    <xf numFmtId="0" fontId="0" fillId="4" borderId="69" xfId="0" applyFill="1" applyBorder="1" applyAlignment="1">
      <alignment horizontal="center" vertical="center"/>
    </xf>
    <xf numFmtId="0" fontId="6" fillId="5" borderId="61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6" fillId="5" borderId="131" xfId="0" applyFont="1" applyFill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6" fillId="5" borderId="30" xfId="0" applyFont="1" applyFill="1" applyBorder="1" applyAlignment="1">
      <alignment horizontal="center" vertical="center" wrapText="1"/>
    </xf>
    <xf numFmtId="0" fontId="6" fillId="5" borderId="31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0" fillId="5" borderId="32" xfId="0" applyFill="1" applyBorder="1" applyAlignment="1">
      <alignment horizontal="center" vertical="center" wrapText="1"/>
    </xf>
    <xf numFmtId="0" fontId="0" fillId="5" borderId="33" xfId="0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 wrapText="1"/>
    </xf>
    <xf numFmtId="0" fontId="0" fillId="5" borderId="21" xfId="0" applyFill="1" applyBorder="1" applyAlignment="1">
      <alignment horizontal="center" vertical="center" wrapText="1"/>
    </xf>
    <xf numFmtId="3" fontId="0" fillId="2" borderId="6" xfId="0" applyNumberFormat="1" applyFill="1" applyBorder="1" applyAlignment="1">
      <alignment horizontal="center" vertical="center" wrapText="1"/>
    </xf>
    <xf numFmtId="3" fontId="0" fillId="0" borderId="43" xfId="0" applyNumberFormat="1" applyBorder="1" applyAlignment="1">
      <alignment horizontal="center" vertical="center" wrapText="1"/>
    </xf>
    <xf numFmtId="3" fontId="0" fillId="2" borderId="94" xfId="0" applyNumberFormat="1" applyFill="1" applyBorder="1" applyAlignment="1">
      <alignment horizontal="center" vertical="center" wrapText="1"/>
    </xf>
    <xf numFmtId="3" fontId="0" fillId="0" borderId="94" xfId="0" applyNumberFormat="1" applyBorder="1" applyAlignment="1">
      <alignment horizontal="center" vertical="center" wrapText="1"/>
    </xf>
    <xf numFmtId="3" fontId="0" fillId="0" borderId="55" xfId="0" applyNumberFormat="1" applyBorder="1" applyAlignment="1">
      <alignment horizontal="center" vertical="center" wrapText="1"/>
    </xf>
    <xf numFmtId="3" fontId="7" fillId="2" borderId="21" xfId="0" applyNumberFormat="1" applyFont="1" applyFill="1" applyBorder="1" applyAlignment="1">
      <alignment horizontal="center" vertical="center" wrapText="1"/>
    </xf>
    <xf numFmtId="3" fontId="7" fillId="2" borderId="13" xfId="0" applyNumberFormat="1" applyFont="1" applyFill="1" applyBorder="1" applyAlignment="1">
      <alignment horizontal="center" vertical="center" wrapText="1"/>
    </xf>
    <xf numFmtId="0" fontId="2" fillId="2" borderId="81" xfId="0" applyFont="1" applyFill="1" applyBorder="1" applyAlignment="1">
      <alignment horizontal="center" vertical="center" wrapText="1"/>
    </xf>
    <xf numFmtId="0" fontId="2" fillId="2" borderId="133" xfId="0" applyFont="1" applyFill="1" applyBorder="1" applyAlignment="1">
      <alignment horizontal="center" vertical="center" wrapText="1"/>
    </xf>
    <xf numFmtId="0" fontId="2" fillId="2" borderId="93" xfId="0" applyFont="1" applyFill="1" applyBorder="1" applyAlignment="1">
      <alignment horizontal="center" vertical="center" wrapText="1"/>
    </xf>
    <xf numFmtId="0" fontId="7" fillId="2" borderId="36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 wrapText="1" indent="1"/>
    </xf>
    <xf numFmtId="0" fontId="7" fillId="2" borderId="85" xfId="0" applyFont="1" applyFill="1" applyBorder="1" applyAlignment="1">
      <alignment horizontal="left" vertical="center" wrapText="1" indent="1"/>
    </xf>
    <xf numFmtId="0" fontId="0" fillId="0" borderId="85" xfId="0" applyBorder="1" applyAlignment="1">
      <alignment horizontal="left" vertical="center" wrapText="1" indent="1"/>
    </xf>
    <xf numFmtId="164" fontId="0" fillId="5" borderId="94" xfId="0" applyNumberFormat="1" applyFill="1" applyBorder="1" applyAlignment="1">
      <alignment horizontal="center" vertical="center" wrapText="1"/>
    </xf>
    <xf numFmtId="0" fontId="0" fillId="5" borderId="94" xfId="0" applyFill="1" applyBorder="1" applyAlignment="1">
      <alignment horizontal="center" vertical="center" wrapText="1"/>
    </xf>
    <xf numFmtId="0" fontId="0" fillId="0" borderId="35" xfId="0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56"/>
  <sheetViews>
    <sheetView tabSelected="1" topLeftCell="B1" zoomScale="75" zoomScaleNormal="75" workbookViewId="0">
      <selection activeCell="D159" sqref="D159"/>
    </sheetView>
  </sheetViews>
  <sheetFormatPr defaultColWidth="8.85546875" defaultRowHeight="18.75" x14ac:dyDescent="0.3"/>
  <cols>
    <col min="1" max="1" width="32.140625" style="259" customWidth="1"/>
    <col min="2" max="2" width="80.42578125" style="1" customWidth="1"/>
    <col min="3" max="3" width="28.5703125" style="1" customWidth="1"/>
    <col min="4" max="4" width="28.5703125" style="316" customWidth="1"/>
    <col min="5" max="5" width="18.7109375" style="32" customWidth="1"/>
    <col min="6" max="6" width="15.7109375" style="41" customWidth="1"/>
    <col min="7" max="7" width="17.5703125" style="41" customWidth="1"/>
    <col min="8" max="8" width="13.7109375" style="41" customWidth="1"/>
    <col min="9" max="9" width="22.85546875" style="41" customWidth="1"/>
    <col min="10" max="10" width="13.7109375" style="41" customWidth="1"/>
    <col min="11" max="11" width="19.5703125" style="41" customWidth="1"/>
    <col min="12" max="12" width="20.140625" style="41" customWidth="1"/>
    <col min="13" max="13" width="17.5703125" style="41" customWidth="1"/>
    <col min="14" max="14" width="13.7109375" style="41" customWidth="1"/>
    <col min="15" max="15" width="16.28515625" style="40" customWidth="1"/>
    <col min="16" max="16" width="14.42578125" style="36" customWidth="1"/>
    <col min="17" max="17" width="36.7109375" style="179" customWidth="1"/>
  </cols>
  <sheetData>
    <row r="1" spans="1:17" ht="39.950000000000003" customHeight="1" thickBot="1" x14ac:dyDescent="0.35">
      <c r="A1" s="219"/>
      <c r="B1" s="382" t="s">
        <v>124</v>
      </c>
      <c r="C1" s="383"/>
      <c r="D1" s="383"/>
      <c r="E1" s="383"/>
      <c r="F1" s="384"/>
      <c r="G1" s="384"/>
      <c r="H1" s="384"/>
      <c r="I1" s="384"/>
      <c r="J1" s="384"/>
      <c r="K1" s="384"/>
      <c r="L1" s="384"/>
      <c r="M1" s="384"/>
      <c r="N1" s="385"/>
      <c r="O1" s="37"/>
      <c r="P1" s="183"/>
      <c r="Q1" s="195"/>
    </row>
    <row r="2" spans="1:17" ht="39.950000000000003" customHeight="1" thickBot="1" x14ac:dyDescent="0.35">
      <c r="A2" s="258"/>
      <c r="B2" s="386" t="s">
        <v>3</v>
      </c>
      <c r="C2" s="387"/>
      <c r="D2" s="387"/>
      <c r="E2" s="387"/>
      <c r="F2" s="388"/>
      <c r="G2" s="388"/>
      <c r="H2" s="388"/>
      <c r="I2" s="388"/>
      <c r="J2" s="388"/>
      <c r="K2" s="388"/>
      <c r="L2" s="388"/>
      <c r="M2" s="388"/>
      <c r="N2" s="389"/>
      <c r="O2" s="37"/>
      <c r="P2" s="183"/>
      <c r="Q2" s="196"/>
    </row>
    <row r="3" spans="1:17" ht="51.75" customHeight="1" thickBot="1" x14ac:dyDescent="0.35">
      <c r="A3" s="260" t="s">
        <v>164</v>
      </c>
      <c r="B3" s="419" t="s">
        <v>86</v>
      </c>
      <c r="C3" s="261"/>
      <c r="D3" s="315"/>
      <c r="E3" s="448" t="s">
        <v>101</v>
      </c>
      <c r="F3" s="431" t="s">
        <v>16</v>
      </c>
      <c r="G3" s="228"/>
      <c r="H3" s="416" t="s">
        <v>14</v>
      </c>
      <c r="I3" s="416"/>
      <c r="J3" s="417"/>
      <c r="K3" s="417"/>
      <c r="L3" s="417"/>
      <c r="M3" s="417"/>
      <c r="N3" s="418"/>
      <c r="O3" s="38" t="s">
        <v>105</v>
      </c>
      <c r="P3" s="184" t="s">
        <v>106</v>
      </c>
      <c r="Q3" s="196" t="s">
        <v>131</v>
      </c>
    </row>
    <row r="4" spans="1:17" ht="30" customHeight="1" thickBot="1" x14ac:dyDescent="0.4">
      <c r="A4" s="220" t="s">
        <v>145</v>
      </c>
      <c r="B4" s="420"/>
      <c r="E4" s="449"/>
      <c r="F4" s="432"/>
      <c r="G4" s="229" t="s">
        <v>153</v>
      </c>
      <c r="H4" s="90" t="s">
        <v>84</v>
      </c>
      <c r="I4" s="90" t="s">
        <v>152</v>
      </c>
      <c r="J4" s="91" t="s">
        <v>0</v>
      </c>
      <c r="K4" s="91" t="s">
        <v>194</v>
      </c>
      <c r="L4" s="91" t="s">
        <v>5</v>
      </c>
      <c r="M4" s="250" t="s">
        <v>154</v>
      </c>
      <c r="N4" s="92" t="s">
        <v>1</v>
      </c>
      <c r="O4" s="93"/>
      <c r="P4" s="185"/>
      <c r="Q4" s="196"/>
    </row>
    <row r="5" spans="1:17" ht="39.950000000000003" customHeight="1" thickTop="1" thickBot="1" x14ac:dyDescent="0.4">
      <c r="A5" s="227" t="s">
        <v>209</v>
      </c>
      <c r="B5" s="374" t="s">
        <v>208</v>
      </c>
      <c r="C5" s="263"/>
      <c r="D5" s="318"/>
      <c r="E5" s="109">
        <v>1200000</v>
      </c>
      <c r="F5" s="110">
        <v>272093</v>
      </c>
      <c r="G5" s="110" t="s">
        <v>210</v>
      </c>
      <c r="H5" s="375" t="s">
        <v>188</v>
      </c>
      <c r="I5" s="111"/>
      <c r="J5" s="111"/>
      <c r="K5" s="111"/>
      <c r="L5" s="111"/>
      <c r="M5" s="375" t="s">
        <v>188</v>
      </c>
      <c r="N5" s="375" t="s">
        <v>188</v>
      </c>
      <c r="O5" s="112">
        <v>3000</v>
      </c>
      <c r="P5" s="187" t="s">
        <v>107</v>
      </c>
      <c r="Q5" s="197">
        <f>F5-F4</f>
        <v>272093</v>
      </c>
    </row>
    <row r="6" spans="1:17" ht="39.950000000000003" customHeight="1" thickTop="1" thickBot="1" x14ac:dyDescent="0.4">
      <c r="A6" s="227" t="s">
        <v>150</v>
      </c>
      <c r="B6" s="137" t="s">
        <v>147</v>
      </c>
      <c r="C6" s="263"/>
      <c r="D6" s="318"/>
      <c r="E6" s="109">
        <v>1200000</v>
      </c>
      <c r="F6" s="110">
        <v>139440</v>
      </c>
      <c r="G6" s="110" t="s">
        <v>196</v>
      </c>
      <c r="H6" s="111">
        <v>35820</v>
      </c>
      <c r="I6" s="111" t="s">
        <v>197</v>
      </c>
      <c r="J6" s="111">
        <v>40240</v>
      </c>
      <c r="K6" s="111" t="s">
        <v>198</v>
      </c>
      <c r="L6" s="111">
        <v>49360</v>
      </c>
      <c r="M6" s="111" t="s">
        <v>199</v>
      </c>
      <c r="N6" s="111">
        <v>30250</v>
      </c>
      <c r="O6" s="112">
        <v>3000</v>
      </c>
      <c r="P6" s="187" t="s">
        <v>107</v>
      </c>
      <c r="Q6" s="197">
        <f>F6-F5</f>
        <v>-132653</v>
      </c>
    </row>
    <row r="7" spans="1:17" ht="39.950000000000003" customHeight="1" thickTop="1" x14ac:dyDescent="0.35">
      <c r="A7" s="227" t="s">
        <v>151</v>
      </c>
      <c r="B7" s="226" t="s">
        <v>148</v>
      </c>
      <c r="C7" s="264"/>
      <c r="D7" s="319"/>
      <c r="E7" s="221">
        <v>1200000</v>
      </c>
      <c r="F7" s="222">
        <v>139440</v>
      </c>
      <c r="G7" s="110" t="s">
        <v>196</v>
      </c>
      <c r="H7" s="223">
        <v>35820</v>
      </c>
      <c r="I7" s="111" t="s">
        <v>197</v>
      </c>
      <c r="J7" s="223">
        <v>40240</v>
      </c>
      <c r="K7" s="111" t="s">
        <v>198</v>
      </c>
      <c r="L7" s="223">
        <v>49360</v>
      </c>
      <c r="M7" s="111" t="s">
        <v>199</v>
      </c>
      <c r="N7" s="223">
        <v>30250</v>
      </c>
      <c r="O7" s="224">
        <v>3000</v>
      </c>
      <c r="P7" s="225" t="s">
        <v>107</v>
      </c>
      <c r="Q7" s="197">
        <v>-294919.2</v>
      </c>
    </row>
    <row r="8" spans="1:17" ht="39.950000000000003" customHeight="1" x14ac:dyDescent="0.35">
      <c r="A8" s="227" t="s">
        <v>155</v>
      </c>
      <c r="B8" s="138" t="s">
        <v>149</v>
      </c>
      <c r="C8" s="265"/>
      <c r="D8" s="320"/>
      <c r="E8" s="113">
        <v>1200000</v>
      </c>
      <c r="F8" s="114">
        <v>151160</v>
      </c>
      <c r="G8" s="114" t="s">
        <v>200</v>
      </c>
      <c r="H8" s="115">
        <v>39000</v>
      </c>
      <c r="I8" s="115" t="s">
        <v>201</v>
      </c>
      <c r="J8" s="115">
        <v>43580</v>
      </c>
      <c r="K8" s="115" t="s">
        <v>202</v>
      </c>
      <c r="L8" s="115">
        <v>51490</v>
      </c>
      <c r="M8" s="115" t="s">
        <v>203</v>
      </c>
      <c r="N8" s="115">
        <v>32120</v>
      </c>
      <c r="O8" s="116">
        <v>3000</v>
      </c>
      <c r="P8" s="186" t="s">
        <v>107</v>
      </c>
      <c r="Q8" s="197">
        <f>F8-F5</f>
        <v>-120933</v>
      </c>
    </row>
    <row r="9" spans="1:17" ht="39.950000000000003" customHeight="1" x14ac:dyDescent="0.35">
      <c r="A9" s="227" t="s">
        <v>156</v>
      </c>
      <c r="B9" s="139" t="s">
        <v>32</v>
      </c>
      <c r="C9" s="266"/>
      <c r="D9" s="321"/>
      <c r="E9" s="113">
        <v>750000</v>
      </c>
      <c r="F9" s="114">
        <v>192140</v>
      </c>
      <c r="G9" s="114" t="s">
        <v>204</v>
      </c>
      <c r="H9" s="115">
        <v>59550</v>
      </c>
      <c r="I9" s="115" t="s">
        <v>205</v>
      </c>
      <c r="J9" s="115">
        <v>63990</v>
      </c>
      <c r="K9" s="115" t="s">
        <v>206</v>
      </c>
      <c r="L9" s="115">
        <v>72820</v>
      </c>
      <c r="M9" s="115" t="s">
        <v>207</v>
      </c>
      <c r="N9" s="115">
        <v>37890</v>
      </c>
      <c r="O9" s="116">
        <v>3000</v>
      </c>
      <c r="P9" s="186" t="s">
        <v>107</v>
      </c>
      <c r="Q9" s="197">
        <f>F9-F5</f>
        <v>-79953</v>
      </c>
    </row>
    <row r="10" spans="1:17" ht="39.950000000000003" customHeight="1" thickBot="1" x14ac:dyDescent="0.4">
      <c r="A10" s="227" t="s">
        <v>157</v>
      </c>
      <c r="B10" s="140" t="s">
        <v>110</v>
      </c>
      <c r="C10" s="267"/>
      <c r="D10" s="322"/>
      <c r="E10" s="117">
        <v>750000</v>
      </c>
      <c r="F10" s="118">
        <v>331810</v>
      </c>
      <c r="G10" s="118" t="s">
        <v>211</v>
      </c>
      <c r="H10" s="119">
        <v>59550</v>
      </c>
      <c r="I10" s="119" t="s">
        <v>212</v>
      </c>
      <c r="J10" s="119">
        <v>63990</v>
      </c>
      <c r="K10" s="119" t="s">
        <v>212</v>
      </c>
      <c r="L10" s="119">
        <v>72820</v>
      </c>
      <c r="M10" s="119" t="s">
        <v>213</v>
      </c>
      <c r="N10" s="119">
        <v>37890</v>
      </c>
      <c r="O10" s="120">
        <v>3000</v>
      </c>
      <c r="P10" s="188" t="s">
        <v>107</v>
      </c>
      <c r="Q10" s="197">
        <f>F10-F5</f>
        <v>59717</v>
      </c>
    </row>
    <row r="11" spans="1:17" ht="39.950000000000003" customHeight="1" thickTop="1" thickBot="1" x14ac:dyDescent="0.4">
      <c r="A11" s="227" t="s">
        <v>168</v>
      </c>
      <c r="B11" s="139" t="s">
        <v>113</v>
      </c>
      <c r="C11" s="266"/>
      <c r="D11" s="321"/>
      <c r="E11" s="113">
        <v>150000</v>
      </c>
      <c r="F11" s="114">
        <v>404560</v>
      </c>
      <c r="G11" s="114" t="s">
        <v>214</v>
      </c>
      <c r="H11" s="115">
        <v>52200</v>
      </c>
      <c r="I11" s="115" t="s">
        <v>215</v>
      </c>
      <c r="J11" s="115">
        <v>56450</v>
      </c>
      <c r="K11" s="115" t="s">
        <v>216</v>
      </c>
      <c r="L11" s="115">
        <v>67080</v>
      </c>
      <c r="M11" s="115" t="s">
        <v>217</v>
      </c>
      <c r="N11" s="115">
        <v>41880</v>
      </c>
      <c r="O11" s="116">
        <v>3200</v>
      </c>
      <c r="P11" s="186" t="s">
        <v>107</v>
      </c>
      <c r="Q11" s="196"/>
    </row>
    <row r="12" spans="1:17" ht="39.950000000000003" customHeight="1" thickTop="1" x14ac:dyDescent="0.35">
      <c r="A12" s="227" t="s">
        <v>158</v>
      </c>
      <c r="B12" s="141" t="s">
        <v>116</v>
      </c>
      <c r="C12" s="268"/>
      <c r="D12" s="323"/>
      <c r="E12" s="109">
        <v>300000</v>
      </c>
      <c r="F12" s="110">
        <f>(415780+89713)*1.1</f>
        <v>556042.30000000005</v>
      </c>
      <c r="G12" s="110" t="s">
        <v>195</v>
      </c>
      <c r="H12" s="111">
        <f>16376*1.1</f>
        <v>18013.600000000002</v>
      </c>
      <c r="I12" s="111" t="s">
        <v>195</v>
      </c>
      <c r="J12" s="111">
        <f t="shared" ref="J12:N12" si="0">16376*1.1</f>
        <v>18013.600000000002</v>
      </c>
      <c r="K12" s="375" t="s">
        <v>219</v>
      </c>
      <c r="L12" s="375">
        <f t="shared" si="0"/>
        <v>18013.600000000002</v>
      </c>
      <c r="M12" s="111" t="s">
        <v>218</v>
      </c>
      <c r="N12" s="375">
        <f t="shared" si="0"/>
        <v>18013.600000000002</v>
      </c>
      <c r="O12" s="112">
        <v>5500</v>
      </c>
      <c r="P12" s="187"/>
      <c r="Q12" s="198" t="s">
        <v>116</v>
      </c>
    </row>
    <row r="13" spans="1:17" ht="39.950000000000003" customHeight="1" x14ac:dyDescent="0.35">
      <c r="A13" s="227" t="s">
        <v>159</v>
      </c>
      <c r="B13" s="138" t="s">
        <v>104</v>
      </c>
      <c r="C13" s="265"/>
      <c r="D13" s="320"/>
      <c r="E13" s="113">
        <v>250000</v>
      </c>
      <c r="F13" s="114">
        <v>283200</v>
      </c>
      <c r="G13" s="114" t="s">
        <v>220</v>
      </c>
      <c r="H13" s="115">
        <v>43620</v>
      </c>
      <c r="I13" s="115" t="s">
        <v>221</v>
      </c>
      <c r="J13" s="115">
        <v>47120</v>
      </c>
      <c r="K13" s="115" t="s">
        <v>222</v>
      </c>
      <c r="L13" s="115">
        <v>53600</v>
      </c>
      <c r="M13" s="115" t="s">
        <v>223</v>
      </c>
      <c r="N13" s="115">
        <v>36040</v>
      </c>
      <c r="O13" s="116">
        <v>3000</v>
      </c>
      <c r="P13" s="186" t="s">
        <v>107</v>
      </c>
      <c r="Q13" s="197">
        <f>F13-F12</f>
        <v>-272842.30000000005</v>
      </c>
    </row>
    <row r="14" spans="1:17" ht="39.950000000000003" customHeight="1" x14ac:dyDescent="0.35">
      <c r="A14" s="376"/>
      <c r="B14" s="142" t="s">
        <v>115</v>
      </c>
      <c r="C14" s="262"/>
      <c r="D14" s="317"/>
      <c r="E14" s="113">
        <v>225000</v>
      </c>
      <c r="F14" s="114">
        <f>349000*1.1</f>
        <v>383900.00000000006</v>
      </c>
      <c r="G14" s="130"/>
      <c r="H14" s="115">
        <f>23750*1.1</f>
        <v>26125.000000000004</v>
      </c>
      <c r="I14" s="130"/>
      <c r="J14" s="115">
        <f t="shared" ref="J14:N14" si="1">23750*1.1</f>
        <v>26125.000000000004</v>
      </c>
      <c r="K14" s="130"/>
      <c r="L14" s="115">
        <f t="shared" si="1"/>
        <v>26125.000000000004</v>
      </c>
      <c r="M14" s="130"/>
      <c r="N14" s="115">
        <f t="shared" si="1"/>
        <v>26125.000000000004</v>
      </c>
      <c r="O14" s="116">
        <v>5500</v>
      </c>
      <c r="P14" s="186"/>
      <c r="Q14" s="196"/>
    </row>
    <row r="15" spans="1:17" ht="39.950000000000003" customHeight="1" thickBot="1" x14ac:dyDescent="0.4">
      <c r="A15" s="227" t="s">
        <v>160</v>
      </c>
      <c r="B15" s="142" t="s">
        <v>117</v>
      </c>
      <c r="C15" s="262"/>
      <c r="D15" s="317"/>
      <c r="E15" s="113">
        <v>180000</v>
      </c>
      <c r="F15" s="114">
        <f>357000*1.1</f>
        <v>392700.00000000006</v>
      </c>
      <c r="G15" s="130" t="s">
        <v>224</v>
      </c>
      <c r="H15" s="115">
        <f>42804.3*1.1</f>
        <v>47084.73000000001</v>
      </c>
      <c r="I15" s="130" t="s">
        <v>224</v>
      </c>
      <c r="J15" s="115">
        <f t="shared" ref="J15:N15" si="2">42804.3*1.1</f>
        <v>47084.73000000001</v>
      </c>
      <c r="K15" s="130" t="s">
        <v>225</v>
      </c>
      <c r="L15" s="115">
        <f t="shared" si="2"/>
        <v>47084.73000000001</v>
      </c>
      <c r="M15" s="130" t="s">
        <v>226</v>
      </c>
      <c r="N15" s="115">
        <f t="shared" si="2"/>
        <v>47084.73000000001</v>
      </c>
      <c r="O15" s="116">
        <v>5500</v>
      </c>
      <c r="P15" s="186"/>
      <c r="Q15" s="196"/>
    </row>
    <row r="16" spans="1:17" ht="39.950000000000003" customHeight="1" thickTop="1" thickBot="1" x14ac:dyDescent="0.4">
      <c r="A16" s="227" t="s">
        <v>161</v>
      </c>
      <c r="B16" s="144" t="s">
        <v>114</v>
      </c>
      <c r="C16" s="269"/>
      <c r="D16" s="324"/>
      <c r="E16" s="105">
        <v>70000</v>
      </c>
      <c r="F16" s="106">
        <f>156000*1.1</f>
        <v>171600</v>
      </c>
      <c r="G16" s="106" t="s">
        <v>227</v>
      </c>
      <c r="H16" s="107">
        <f>2981*1.1</f>
        <v>3279.1000000000004</v>
      </c>
      <c r="I16" s="106" t="s">
        <v>227</v>
      </c>
      <c r="J16" s="107">
        <f t="shared" ref="J16:N16" si="3">2981*1.1</f>
        <v>3279.1000000000004</v>
      </c>
      <c r="K16" s="106" t="s">
        <v>227</v>
      </c>
      <c r="L16" s="107">
        <f t="shared" si="3"/>
        <v>3279.1000000000004</v>
      </c>
      <c r="M16" s="106" t="s">
        <v>227</v>
      </c>
      <c r="N16" s="107">
        <f t="shared" si="3"/>
        <v>3279.1000000000004</v>
      </c>
      <c r="O16" s="98">
        <v>5500</v>
      </c>
      <c r="P16" s="189"/>
      <c r="Q16" s="199" t="s">
        <v>114</v>
      </c>
    </row>
    <row r="17" spans="1:17" ht="39.950000000000003" customHeight="1" thickBot="1" x14ac:dyDescent="0.4">
      <c r="A17" s="227" t="s">
        <v>162</v>
      </c>
      <c r="B17" s="143" t="s">
        <v>103</v>
      </c>
      <c r="C17" s="270"/>
      <c r="D17" s="325"/>
      <c r="E17" s="85">
        <v>60000</v>
      </c>
      <c r="F17" s="86">
        <v>161260</v>
      </c>
      <c r="G17" s="230" t="s">
        <v>228</v>
      </c>
      <c r="H17" s="87">
        <v>9980</v>
      </c>
      <c r="I17" s="230" t="s">
        <v>228</v>
      </c>
      <c r="J17" s="88">
        <v>9980</v>
      </c>
      <c r="K17" s="230" t="s">
        <v>228</v>
      </c>
      <c r="L17" s="88">
        <v>9980</v>
      </c>
      <c r="M17" s="251" t="s">
        <v>229</v>
      </c>
      <c r="N17" s="89">
        <v>5940</v>
      </c>
      <c r="O17" s="126">
        <v>3000</v>
      </c>
      <c r="P17" s="185" t="s">
        <v>108</v>
      </c>
      <c r="Q17" s="197">
        <f>F17-F16</f>
        <v>-10340</v>
      </c>
    </row>
    <row r="18" spans="1:17" ht="39.950000000000003" customHeight="1" thickTop="1" x14ac:dyDescent="0.35">
      <c r="A18" s="227"/>
      <c r="B18" s="455" t="s">
        <v>2</v>
      </c>
      <c r="C18" s="456"/>
      <c r="D18" s="456"/>
      <c r="E18" s="457"/>
      <c r="F18" s="457"/>
      <c r="G18" s="457"/>
      <c r="H18" s="457"/>
      <c r="I18" s="457"/>
      <c r="J18" s="457"/>
      <c r="K18" s="457"/>
      <c r="L18" s="457"/>
      <c r="M18" s="457"/>
      <c r="N18" s="457"/>
      <c r="O18" s="132"/>
      <c r="P18" s="187"/>
      <c r="Q18" s="196"/>
    </row>
    <row r="19" spans="1:17" ht="20.100000000000001" customHeight="1" x14ac:dyDescent="0.35">
      <c r="A19" s="227"/>
      <c r="B19" s="460" t="s">
        <v>86</v>
      </c>
      <c r="C19" s="271"/>
      <c r="D19" s="326"/>
      <c r="E19" s="450" t="s">
        <v>101</v>
      </c>
      <c r="F19" s="433" t="s">
        <v>16</v>
      </c>
      <c r="G19" s="217"/>
      <c r="H19" s="462" t="s">
        <v>14</v>
      </c>
      <c r="I19" s="462"/>
      <c r="J19" s="463"/>
      <c r="K19" s="463"/>
      <c r="L19" s="463"/>
      <c r="M19" s="463"/>
      <c r="N19" s="463"/>
      <c r="O19" s="129" t="s">
        <v>105</v>
      </c>
      <c r="P19" s="190" t="s">
        <v>106</v>
      </c>
      <c r="Q19" s="196"/>
    </row>
    <row r="20" spans="1:17" ht="30" customHeight="1" x14ac:dyDescent="0.35">
      <c r="A20" s="227"/>
      <c r="B20" s="461"/>
      <c r="C20" s="272" t="s">
        <v>172</v>
      </c>
      <c r="D20" s="327" t="s">
        <v>167</v>
      </c>
      <c r="E20" s="451"/>
      <c r="F20" s="434"/>
      <c r="G20" s="218"/>
      <c r="H20" s="128" t="s">
        <v>84</v>
      </c>
      <c r="I20" s="128"/>
      <c r="J20" s="128" t="s">
        <v>0</v>
      </c>
      <c r="K20" s="128"/>
      <c r="L20" s="128" t="s">
        <v>5</v>
      </c>
      <c r="M20" s="128"/>
      <c r="N20" s="128" t="s">
        <v>1</v>
      </c>
      <c r="O20" s="127"/>
      <c r="P20" s="186"/>
      <c r="Q20" s="196"/>
    </row>
    <row r="21" spans="1:17" ht="57" customHeight="1" x14ac:dyDescent="0.35">
      <c r="A21" s="227" t="s">
        <v>163</v>
      </c>
      <c r="B21" s="138" t="s">
        <v>39</v>
      </c>
      <c r="C21" s="265" t="s">
        <v>166</v>
      </c>
      <c r="D21" s="320">
        <v>70330</v>
      </c>
      <c r="E21" s="113">
        <v>800000</v>
      </c>
      <c r="F21" s="114">
        <v>498690</v>
      </c>
      <c r="G21" s="114" t="s">
        <v>211</v>
      </c>
      <c r="H21" s="115">
        <v>59550</v>
      </c>
      <c r="I21" s="115" t="s">
        <v>230</v>
      </c>
      <c r="J21" s="115">
        <v>63990</v>
      </c>
      <c r="K21" s="115" t="s">
        <v>212</v>
      </c>
      <c r="L21" s="115">
        <v>72820</v>
      </c>
      <c r="M21" s="115" t="s">
        <v>213</v>
      </c>
      <c r="N21" s="115">
        <v>37890</v>
      </c>
      <c r="O21" s="116">
        <v>3000</v>
      </c>
      <c r="P21" s="186" t="s">
        <v>107</v>
      </c>
      <c r="Q21" s="200" t="s">
        <v>39</v>
      </c>
    </row>
    <row r="22" spans="1:17" ht="39.950000000000003" customHeight="1" x14ac:dyDescent="0.35">
      <c r="A22" s="227" t="s">
        <v>146</v>
      </c>
      <c r="B22" s="142" t="s">
        <v>118</v>
      </c>
      <c r="C22" s="262"/>
      <c r="D22" s="317"/>
      <c r="E22" s="113">
        <v>250000</v>
      </c>
      <c r="F22" s="130">
        <f>(394872+148000)*1.1</f>
        <v>597159.20000000007</v>
      </c>
      <c r="G22" s="130" t="s">
        <v>231</v>
      </c>
      <c r="H22" s="130">
        <f>55913*1.1</f>
        <v>61504.3</v>
      </c>
      <c r="I22" s="130" t="s">
        <v>231</v>
      </c>
      <c r="J22" s="130">
        <f t="shared" ref="J22:N22" si="4">55913*1.1</f>
        <v>61504.3</v>
      </c>
      <c r="K22" s="130" t="s">
        <v>233</v>
      </c>
      <c r="L22" s="130">
        <f t="shared" si="4"/>
        <v>61504.3</v>
      </c>
      <c r="M22" s="130" t="s">
        <v>234</v>
      </c>
      <c r="N22" s="130">
        <f t="shared" si="4"/>
        <v>61504.3</v>
      </c>
      <c r="O22" s="116">
        <v>5500</v>
      </c>
      <c r="P22" s="186"/>
      <c r="Q22" s="197">
        <f>F22-F21</f>
        <v>98469.20000000007</v>
      </c>
    </row>
    <row r="23" spans="1:17" ht="39.950000000000003" customHeight="1" x14ac:dyDescent="0.35">
      <c r="A23" s="227" t="s">
        <v>165</v>
      </c>
      <c r="B23" s="138" t="s">
        <v>59</v>
      </c>
      <c r="C23" s="265"/>
      <c r="D23" s="320"/>
      <c r="E23" s="113">
        <v>200000</v>
      </c>
      <c r="F23" s="130">
        <v>405590</v>
      </c>
      <c r="G23" s="130" t="s">
        <v>235</v>
      </c>
      <c r="H23" s="130">
        <f>46240</f>
        <v>46240</v>
      </c>
      <c r="I23" s="130" t="s">
        <v>221</v>
      </c>
      <c r="J23" s="130">
        <v>49950</v>
      </c>
      <c r="K23" s="130" t="s">
        <v>222</v>
      </c>
      <c r="L23" s="130">
        <v>56820</v>
      </c>
      <c r="M23" s="130" t="s">
        <v>223</v>
      </c>
      <c r="N23" s="130">
        <v>38200</v>
      </c>
      <c r="O23" s="116">
        <v>3000</v>
      </c>
      <c r="P23" s="186" t="s">
        <v>107</v>
      </c>
      <c r="Q23" s="196"/>
    </row>
    <row r="24" spans="1:17" ht="39.950000000000003" customHeight="1" x14ac:dyDescent="0.35">
      <c r="A24" s="376"/>
      <c r="B24" s="142" t="s">
        <v>120</v>
      </c>
      <c r="C24" s="262"/>
      <c r="D24" s="317"/>
      <c r="E24" s="113">
        <v>180000</v>
      </c>
      <c r="F24" s="114">
        <f>(349000+156830)*1.1</f>
        <v>556413</v>
      </c>
      <c r="G24" s="130"/>
      <c r="H24" s="130">
        <f>23750*1.1</f>
        <v>26125.000000000004</v>
      </c>
      <c r="I24" s="130"/>
      <c r="J24" s="130">
        <f t="shared" ref="J24:N24" si="5">23750*1.1</f>
        <v>26125.000000000004</v>
      </c>
      <c r="K24" s="130"/>
      <c r="L24" s="130">
        <f t="shared" si="5"/>
        <v>26125.000000000004</v>
      </c>
      <c r="M24" s="130"/>
      <c r="N24" s="130">
        <f t="shared" si="5"/>
        <v>26125.000000000004</v>
      </c>
      <c r="O24" s="131">
        <v>5500</v>
      </c>
      <c r="P24" s="186"/>
      <c r="Q24" s="196"/>
    </row>
    <row r="25" spans="1:17" ht="39.950000000000003" customHeight="1" x14ac:dyDescent="0.35">
      <c r="A25" s="227" t="s">
        <v>160</v>
      </c>
      <c r="B25" s="142" t="s">
        <v>117</v>
      </c>
      <c r="C25" s="262"/>
      <c r="D25" s="317"/>
      <c r="E25" s="113">
        <v>140000</v>
      </c>
      <c r="F25" s="114">
        <f>(357500+140800)*1.1</f>
        <v>548130</v>
      </c>
      <c r="G25" s="114" t="s">
        <v>224</v>
      </c>
      <c r="H25" s="115">
        <f>42804.3*1.1</f>
        <v>47084.73000000001</v>
      </c>
      <c r="I25" s="114" t="s">
        <v>224</v>
      </c>
      <c r="J25" s="115">
        <f t="shared" ref="J25:N25" si="6">42804.3*1.1</f>
        <v>47084.73000000001</v>
      </c>
      <c r="K25" s="115" t="s">
        <v>225</v>
      </c>
      <c r="L25" s="115">
        <f t="shared" si="6"/>
        <v>47084.73000000001</v>
      </c>
      <c r="M25" s="115" t="s">
        <v>226</v>
      </c>
      <c r="N25" s="115">
        <f t="shared" si="6"/>
        <v>47084.73000000001</v>
      </c>
      <c r="O25" s="116">
        <v>5500</v>
      </c>
      <c r="P25" s="186"/>
      <c r="Q25" s="196"/>
    </row>
    <row r="26" spans="1:17" ht="69" customHeight="1" x14ac:dyDescent="0.35">
      <c r="A26" s="227" t="s">
        <v>169</v>
      </c>
      <c r="B26" s="138" t="s">
        <v>42</v>
      </c>
      <c r="C26" s="265" t="s">
        <v>238</v>
      </c>
      <c r="D26" s="320">
        <v>70330</v>
      </c>
      <c r="E26" s="113">
        <v>150000</v>
      </c>
      <c r="F26" s="114">
        <v>528140</v>
      </c>
      <c r="G26" s="114" t="s">
        <v>236</v>
      </c>
      <c r="H26" s="115">
        <v>68370</v>
      </c>
      <c r="I26" s="114" t="s">
        <v>239</v>
      </c>
      <c r="J26" s="115">
        <v>72570</v>
      </c>
      <c r="K26" s="115" t="s">
        <v>240</v>
      </c>
      <c r="L26" s="115">
        <v>83100</v>
      </c>
      <c r="M26" s="115" t="s">
        <v>241</v>
      </c>
      <c r="N26" s="115">
        <v>55930</v>
      </c>
      <c r="O26" s="116">
        <v>3200</v>
      </c>
      <c r="P26" s="186" t="s">
        <v>107</v>
      </c>
      <c r="Q26" s="196"/>
    </row>
    <row r="27" spans="1:17" ht="39.950000000000003" customHeight="1" x14ac:dyDescent="0.35">
      <c r="A27" s="227" t="s">
        <v>170</v>
      </c>
      <c r="B27" s="138" t="s">
        <v>41</v>
      </c>
      <c r="C27" s="265"/>
      <c r="D27" s="320"/>
      <c r="E27" s="113">
        <v>60000</v>
      </c>
      <c r="F27" s="114">
        <v>349490</v>
      </c>
      <c r="G27" s="114" t="s">
        <v>237</v>
      </c>
      <c r="H27" s="115">
        <v>10580</v>
      </c>
      <c r="I27" s="114" t="s">
        <v>237</v>
      </c>
      <c r="J27" s="115">
        <v>10580</v>
      </c>
      <c r="K27" s="114" t="s">
        <v>237</v>
      </c>
      <c r="L27" s="115">
        <v>10580</v>
      </c>
      <c r="M27" s="115" t="s">
        <v>242</v>
      </c>
      <c r="N27" s="115">
        <v>6300</v>
      </c>
      <c r="O27" s="116">
        <v>3000</v>
      </c>
      <c r="P27" s="186" t="s">
        <v>108</v>
      </c>
      <c r="Q27" s="196"/>
    </row>
    <row r="28" spans="1:17" ht="39.950000000000003" customHeight="1" x14ac:dyDescent="0.35">
      <c r="A28" s="227" t="s">
        <v>171</v>
      </c>
      <c r="B28" s="138" t="s">
        <v>40</v>
      </c>
      <c r="C28" s="265"/>
      <c r="D28" s="320"/>
      <c r="E28" s="113">
        <v>60000</v>
      </c>
      <c r="F28" s="130">
        <v>378920</v>
      </c>
      <c r="G28" s="114" t="s">
        <v>237</v>
      </c>
      <c r="H28" s="130">
        <v>10580</v>
      </c>
      <c r="I28" s="114" t="s">
        <v>237</v>
      </c>
      <c r="J28" s="130">
        <v>10580</v>
      </c>
      <c r="K28" s="114" t="s">
        <v>237</v>
      </c>
      <c r="L28" s="130">
        <v>10580</v>
      </c>
      <c r="M28" s="115" t="s">
        <v>242</v>
      </c>
      <c r="N28" s="130">
        <v>6300</v>
      </c>
      <c r="O28" s="131">
        <v>3000</v>
      </c>
      <c r="P28" s="186" t="s">
        <v>108</v>
      </c>
      <c r="Q28" s="196"/>
    </row>
    <row r="29" spans="1:17" ht="39.950000000000003" customHeight="1" thickBot="1" x14ac:dyDescent="0.4">
      <c r="A29" s="227" t="s">
        <v>161</v>
      </c>
      <c r="B29" s="145" t="s">
        <v>119</v>
      </c>
      <c r="C29" s="273"/>
      <c r="D29" s="328"/>
      <c r="E29" s="117">
        <v>70000</v>
      </c>
      <c r="F29" s="133">
        <f>(156000+116500)*1.1</f>
        <v>299750</v>
      </c>
      <c r="G29" s="133" t="s">
        <v>232</v>
      </c>
      <c r="H29" s="133">
        <f>2981*1.1</f>
        <v>3279.1000000000004</v>
      </c>
      <c r="I29" s="133" t="s">
        <v>232</v>
      </c>
      <c r="J29" s="133">
        <f t="shared" ref="J29:N29" si="7">2981*1.1</f>
        <v>3279.1000000000004</v>
      </c>
      <c r="K29" s="133" t="s">
        <v>232</v>
      </c>
      <c r="L29" s="133">
        <f t="shared" si="7"/>
        <v>3279.1000000000004</v>
      </c>
      <c r="M29" s="133" t="s">
        <v>232</v>
      </c>
      <c r="N29" s="133">
        <f t="shared" si="7"/>
        <v>3279.1000000000004</v>
      </c>
      <c r="O29" s="134">
        <v>5500</v>
      </c>
      <c r="P29" s="188"/>
      <c r="Q29" s="196"/>
    </row>
    <row r="30" spans="1:17" ht="39.950000000000003" customHeight="1" thickTop="1" thickBot="1" x14ac:dyDescent="0.4">
      <c r="A30" s="227"/>
      <c r="B30" s="399" t="s">
        <v>8</v>
      </c>
      <c r="C30" s="400"/>
      <c r="D30" s="400"/>
      <c r="E30" s="400"/>
      <c r="F30" s="400"/>
      <c r="G30" s="400"/>
      <c r="H30" s="400"/>
      <c r="I30" s="400"/>
      <c r="J30" s="400"/>
      <c r="K30" s="400"/>
      <c r="L30" s="400"/>
      <c r="M30" s="400"/>
      <c r="N30" s="401"/>
      <c r="O30" s="108"/>
      <c r="P30" s="191"/>
      <c r="Q30" s="196"/>
    </row>
    <row r="31" spans="1:17" ht="20.100000000000001" customHeight="1" thickBot="1" x14ac:dyDescent="0.4">
      <c r="A31" s="227"/>
      <c r="B31" s="419" t="s">
        <v>86</v>
      </c>
      <c r="C31" s="261"/>
      <c r="D31" s="315"/>
      <c r="E31" s="448" t="s">
        <v>101</v>
      </c>
      <c r="F31" s="431" t="s">
        <v>16</v>
      </c>
      <c r="G31" s="228"/>
      <c r="H31" s="416" t="s">
        <v>14</v>
      </c>
      <c r="I31" s="416"/>
      <c r="J31" s="417"/>
      <c r="K31" s="417"/>
      <c r="L31" s="417"/>
      <c r="M31" s="417"/>
      <c r="N31" s="418"/>
      <c r="O31" s="38" t="s">
        <v>105</v>
      </c>
      <c r="P31" s="184" t="s">
        <v>106</v>
      </c>
      <c r="Q31" s="196"/>
    </row>
    <row r="32" spans="1:17" ht="30" customHeight="1" thickBot="1" x14ac:dyDescent="0.4">
      <c r="A32" s="227"/>
      <c r="B32" s="464"/>
      <c r="C32" s="274"/>
      <c r="D32" s="329"/>
      <c r="E32" s="452"/>
      <c r="F32" s="435"/>
      <c r="G32" s="231"/>
      <c r="H32" s="57" t="s">
        <v>83</v>
      </c>
      <c r="I32" s="57"/>
      <c r="J32" s="58" t="s">
        <v>82</v>
      </c>
      <c r="K32" s="58"/>
      <c r="L32" s="58" t="s">
        <v>81</v>
      </c>
      <c r="M32" s="252"/>
      <c r="N32" s="59" t="s">
        <v>1</v>
      </c>
      <c r="O32" s="37"/>
      <c r="P32" s="183"/>
      <c r="Q32" s="196"/>
    </row>
    <row r="33" spans="1:17" ht="39.950000000000003" customHeight="1" thickBot="1" x14ac:dyDescent="0.4">
      <c r="A33" s="227" t="s">
        <v>173</v>
      </c>
      <c r="B33" s="146" t="s">
        <v>44</v>
      </c>
      <c r="C33" s="275"/>
      <c r="D33" s="330"/>
      <c r="E33" s="35">
        <v>150000</v>
      </c>
      <c r="F33" s="70">
        <v>797820</v>
      </c>
      <c r="G33" s="230" t="s">
        <v>243</v>
      </c>
      <c r="H33" s="42">
        <v>68370</v>
      </c>
      <c r="I33" s="42" t="s">
        <v>244</v>
      </c>
      <c r="J33" s="43">
        <v>72570</v>
      </c>
      <c r="K33" s="43" t="s">
        <v>245</v>
      </c>
      <c r="L33" s="43">
        <v>83100</v>
      </c>
      <c r="M33" s="253" t="s">
        <v>246</v>
      </c>
      <c r="N33" s="44">
        <v>55930</v>
      </c>
      <c r="O33" s="39">
        <v>3200</v>
      </c>
      <c r="P33" s="183" t="s">
        <v>107</v>
      </c>
      <c r="Q33" s="196"/>
    </row>
    <row r="34" spans="1:17" ht="39.950000000000003" customHeight="1" thickBot="1" x14ac:dyDescent="0.4">
      <c r="A34" s="227" t="s">
        <v>174</v>
      </c>
      <c r="B34" s="147" t="s">
        <v>121</v>
      </c>
      <c r="C34" s="276"/>
      <c r="D34" s="331"/>
      <c r="E34" s="85">
        <v>60000</v>
      </c>
      <c r="F34" s="151">
        <f>497200*1.1</f>
        <v>546920</v>
      </c>
      <c r="G34" s="232" t="s">
        <v>247</v>
      </c>
      <c r="H34" s="121">
        <f>32858*1.1</f>
        <v>36143.800000000003</v>
      </c>
      <c r="I34" s="232" t="s">
        <v>247</v>
      </c>
      <c r="J34" s="121">
        <f t="shared" ref="J34:N34" si="8">32858*1.1</f>
        <v>36143.800000000003</v>
      </c>
      <c r="K34" s="232" t="s">
        <v>247</v>
      </c>
      <c r="L34" s="121">
        <f t="shared" si="8"/>
        <v>36143.800000000003</v>
      </c>
      <c r="M34" s="232" t="s">
        <v>247</v>
      </c>
      <c r="N34" s="121">
        <f t="shared" si="8"/>
        <v>36143.800000000003</v>
      </c>
      <c r="O34" s="125">
        <v>5500</v>
      </c>
      <c r="P34" s="183"/>
      <c r="Q34" s="196"/>
    </row>
    <row r="35" spans="1:17" ht="39.950000000000003" customHeight="1" thickBot="1" x14ac:dyDescent="0.4">
      <c r="A35" s="227" t="s">
        <v>175</v>
      </c>
      <c r="B35" s="148" t="s">
        <v>43</v>
      </c>
      <c r="C35" s="277"/>
      <c r="D35" s="332"/>
      <c r="E35" s="34">
        <v>60000</v>
      </c>
      <c r="F35" s="135">
        <v>541770</v>
      </c>
      <c r="G35" s="233" t="s">
        <v>248</v>
      </c>
      <c r="H35" s="121">
        <v>10980</v>
      </c>
      <c r="I35" s="233" t="s">
        <v>248</v>
      </c>
      <c r="J35" s="122">
        <v>10980</v>
      </c>
      <c r="K35" s="233" t="s">
        <v>248</v>
      </c>
      <c r="L35" s="122">
        <v>12080</v>
      </c>
      <c r="M35" s="254" t="s">
        <v>242</v>
      </c>
      <c r="N35" s="123">
        <v>6530</v>
      </c>
      <c r="O35" s="125">
        <v>3000</v>
      </c>
      <c r="P35" s="183" t="s">
        <v>108</v>
      </c>
      <c r="Q35" s="196"/>
    </row>
    <row r="36" spans="1:17" ht="39.950000000000003" customHeight="1" thickBot="1" x14ac:dyDescent="0.4">
      <c r="A36" s="227" t="s">
        <v>176</v>
      </c>
      <c r="B36" s="148" t="s">
        <v>177</v>
      </c>
      <c r="C36" s="277"/>
      <c r="D36" s="332"/>
      <c r="E36" s="34" t="s">
        <v>102</v>
      </c>
      <c r="F36" s="135">
        <v>160160</v>
      </c>
      <c r="G36" s="233" t="s">
        <v>249</v>
      </c>
      <c r="H36" s="121">
        <f>1390*1.1</f>
        <v>1529.0000000000002</v>
      </c>
      <c r="I36" s="233" t="s">
        <v>249</v>
      </c>
      <c r="J36" s="122">
        <v>1390</v>
      </c>
      <c r="K36" s="233" t="s">
        <v>249</v>
      </c>
      <c r="L36" s="122">
        <v>1390</v>
      </c>
      <c r="M36" s="233" t="s">
        <v>249</v>
      </c>
      <c r="N36" s="123">
        <v>1110</v>
      </c>
      <c r="O36" s="125">
        <v>3000</v>
      </c>
      <c r="P36" s="183" t="s">
        <v>108</v>
      </c>
      <c r="Q36" s="196"/>
    </row>
    <row r="37" spans="1:17" ht="39.950000000000003" customHeight="1" thickBot="1" x14ac:dyDescent="0.4">
      <c r="A37" s="227" t="s">
        <v>178</v>
      </c>
      <c r="B37" s="148" t="s">
        <v>179</v>
      </c>
      <c r="C37" s="277"/>
      <c r="D37" s="332"/>
      <c r="E37" s="34" t="s">
        <v>102</v>
      </c>
      <c r="F37" s="135">
        <v>185630</v>
      </c>
      <c r="G37" s="233" t="s">
        <v>249</v>
      </c>
      <c r="H37" s="121">
        <f>1390*1.1</f>
        <v>1529.0000000000002</v>
      </c>
      <c r="I37" s="233" t="s">
        <v>249</v>
      </c>
      <c r="J37" s="122">
        <v>1390</v>
      </c>
      <c r="K37" s="233" t="s">
        <v>249</v>
      </c>
      <c r="L37" s="122">
        <v>1390</v>
      </c>
      <c r="M37" s="233" t="s">
        <v>249</v>
      </c>
      <c r="N37" s="123">
        <v>1110</v>
      </c>
      <c r="O37" s="125">
        <v>3000</v>
      </c>
      <c r="P37" s="183" t="s">
        <v>108</v>
      </c>
      <c r="Q37" s="196"/>
    </row>
    <row r="38" spans="1:17" ht="39.950000000000003" customHeight="1" thickBot="1" x14ac:dyDescent="0.4">
      <c r="A38" s="227"/>
      <c r="B38" s="371"/>
      <c r="C38" s="372"/>
      <c r="D38" s="373"/>
      <c r="E38" s="84"/>
      <c r="F38" s="124"/>
      <c r="G38" s="124"/>
      <c r="H38" s="136"/>
      <c r="I38" s="136"/>
      <c r="J38" s="136"/>
      <c r="K38" s="136"/>
      <c r="L38" s="136"/>
      <c r="M38" s="136"/>
      <c r="N38" s="136"/>
      <c r="O38" s="125"/>
      <c r="P38" s="183"/>
      <c r="Q38" s="196"/>
    </row>
    <row r="39" spans="1:17" ht="39.950000000000003" customHeight="1" thickBot="1" x14ac:dyDescent="0.4">
      <c r="A39" s="227" t="s">
        <v>181</v>
      </c>
      <c r="B39" s="149" t="s">
        <v>180</v>
      </c>
      <c r="C39" s="278"/>
      <c r="D39" s="333"/>
      <c r="E39" s="84">
        <v>7000</v>
      </c>
      <c r="F39" s="124">
        <f>265900*1.1</f>
        <v>292490</v>
      </c>
      <c r="G39" s="124" t="s">
        <v>250</v>
      </c>
      <c r="H39" s="136">
        <f>19871*1.1</f>
        <v>21858.100000000002</v>
      </c>
      <c r="I39" s="124" t="s">
        <v>250</v>
      </c>
      <c r="J39" s="136">
        <f t="shared" ref="J39:N40" si="9">19871*1.1</f>
        <v>21858.100000000002</v>
      </c>
      <c r="K39" s="124" t="s">
        <v>250</v>
      </c>
      <c r="L39" s="136">
        <f t="shared" si="9"/>
        <v>21858.100000000002</v>
      </c>
      <c r="M39" s="124" t="s">
        <v>250</v>
      </c>
      <c r="N39" s="136">
        <f t="shared" si="9"/>
        <v>21858.100000000002</v>
      </c>
      <c r="O39" s="125">
        <v>5500</v>
      </c>
      <c r="P39" s="183"/>
      <c r="Q39" s="196"/>
    </row>
    <row r="40" spans="1:17" ht="39.950000000000003" customHeight="1" thickBot="1" x14ac:dyDescent="0.4">
      <c r="A40" s="227" t="s">
        <v>182</v>
      </c>
      <c r="B40" s="149" t="s">
        <v>125</v>
      </c>
      <c r="C40" s="278"/>
      <c r="D40" s="333"/>
      <c r="E40" s="84">
        <v>7000</v>
      </c>
      <c r="F40" s="124">
        <f>265900*1.1</f>
        <v>292490</v>
      </c>
      <c r="G40" s="124" t="s">
        <v>250</v>
      </c>
      <c r="H40" s="136">
        <f>19871*1.1</f>
        <v>21858.100000000002</v>
      </c>
      <c r="I40" s="124" t="s">
        <v>250</v>
      </c>
      <c r="J40" s="136">
        <f t="shared" si="9"/>
        <v>21858.100000000002</v>
      </c>
      <c r="K40" s="124" t="s">
        <v>250</v>
      </c>
      <c r="L40" s="136">
        <f t="shared" si="9"/>
        <v>21858.100000000002</v>
      </c>
      <c r="M40" s="124" t="s">
        <v>250</v>
      </c>
      <c r="N40" s="136">
        <f t="shared" si="9"/>
        <v>21858.100000000002</v>
      </c>
      <c r="O40" s="125">
        <v>5500</v>
      </c>
      <c r="P40" s="183"/>
      <c r="Q40" s="196"/>
    </row>
    <row r="41" spans="1:17" ht="39.950000000000003" customHeight="1" thickBot="1" x14ac:dyDescent="0.4">
      <c r="A41" s="227"/>
      <c r="B41" s="402" t="s">
        <v>9</v>
      </c>
      <c r="C41" s="403"/>
      <c r="D41" s="403"/>
      <c r="E41" s="403"/>
      <c r="F41" s="403"/>
      <c r="G41" s="403"/>
      <c r="H41" s="403"/>
      <c r="I41" s="403"/>
      <c r="J41" s="403"/>
      <c r="K41" s="403"/>
      <c r="L41" s="403"/>
      <c r="M41" s="403"/>
      <c r="N41" s="404"/>
      <c r="O41" s="37"/>
      <c r="P41" s="183"/>
      <c r="Q41" s="196"/>
    </row>
    <row r="42" spans="1:17" ht="20.100000000000001" customHeight="1" thickBot="1" x14ac:dyDescent="0.4">
      <c r="A42" s="227"/>
      <c r="B42" s="419" t="s">
        <v>86</v>
      </c>
      <c r="C42" s="261"/>
      <c r="D42" s="315"/>
      <c r="E42" s="448" t="s">
        <v>101</v>
      </c>
      <c r="F42" s="431" t="s">
        <v>16</v>
      </c>
      <c r="G42" s="228"/>
      <c r="H42" s="416" t="s">
        <v>14</v>
      </c>
      <c r="I42" s="416"/>
      <c r="J42" s="417"/>
      <c r="K42" s="417"/>
      <c r="L42" s="417"/>
      <c r="M42" s="417"/>
      <c r="N42" s="418"/>
      <c r="O42" s="37"/>
      <c r="P42" s="183"/>
      <c r="Q42" s="196"/>
    </row>
    <row r="43" spans="1:17" ht="30" customHeight="1" thickBot="1" x14ac:dyDescent="0.4">
      <c r="A43" s="227"/>
      <c r="B43" s="420"/>
      <c r="E43" s="449"/>
      <c r="F43" s="432"/>
      <c r="G43" s="229" t="s">
        <v>262</v>
      </c>
      <c r="H43" s="90" t="s">
        <v>84</v>
      </c>
      <c r="I43" s="90"/>
      <c r="J43" s="91" t="s">
        <v>0</v>
      </c>
      <c r="K43" s="91"/>
      <c r="L43" s="91" t="s">
        <v>5</v>
      </c>
      <c r="M43" s="250"/>
      <c r="N43" s="92" t="s">
        <v>1</v>
      </c>
      <c r="O43" s="152" t="s">
        <v>105</v>
      </c>
      <c r="P43" s="192" t="s">
        <v>106</v>
      </c>
      <c r="Q43" s="196"/>
    </row>
    <row r="44" spans="1:17" ht="39.950000000000003" customHeight="1" thickTop="1" thickBot="1" x14ac:dyDescent="0.4">
      <c r="A44" s="227" t="s">
        <v>183</v>
      </c>
      <c r="B44" s="155" t="s">
        <v>85</v>
      </c>
      <c r="C44" s="279"/>
      <c r="D44" s="334"/>
      <c r="E44" s="156">
        <v>400000</v>
      </c>
      <c r="F44" s="157">
        <v>987820</v>
      </c>
      <c r="G44" s="234" t="s">
        <v>253</v>
      </c>
      <c r="H44" s="158">
        <v>87380</v>
      </c>
      <c r="I44" s="234" t="s">
        <v>253</v>
      </c>
      <c r="J44" s="159">
        <v>87380</v>
      </c>
      <c r="K44" s="234" t="s">
        <v>253</v>
      </c>
      <c r="L44" s="159">
        <v>87380</v>
      </c>
      <c r="M44" s="255" t="s">
        <v>254</v>
      </c>
      <c r="N44" s="160">
        <v>57040</v>
      </c>
      <c r="O44" s="98">
        <v>3000</v>
      </c>
      <c r="P44" s="189" t="s">
        <v>107</v>
      </c>
      <c r="Q44" s="196"/>
    </row>
    <row r="45" spans="1:17" ht="39.950000000000003" customHeight="1" thickBot="1" x14ac:dyDescent="0.4">
      <c r="A45" s="227" t="s">
        <v>189</v>
      </c>
      <c r="B45" s="161" t="s">
        <v>122</v>
      </c>
      <c r="C45" s="276"/>
      <c r="D45" s="331"/>
      <c r="E45" s="85"/>
      <c r="F45" s="86">
        <f>(490000+148000)*1.1</f>
        <v>701800</v>
      </c>
      <c r="G45" s="230" t="s">
        <v>231</v>
      </c>
      <c r="H45" s="87">
        <f>55913*1.1</f>
        <v>61504.3</v>
      </c>
      <c r="I45" s="230" t="s">
        <v>231</v>
      </c>
      <c r="J45" s="87">
        <f t="shared" ref="J45:N45" si="10">55913*1.1</f>
        <v>61504.3</v>
      </c>
      <c r="K45" s="87" t="s">
        <v>251</v>
      </c>
      <c r="L45" s="87">
        <f t="shared" si="10"/>
        <v>61504.3</v>
      </c>
      <c r="M45" s="87" t="s">
        <v>252</v>
      </c>
      <c r="N45" s="87">
        <f t="shared" si="10"/>
        <v>61504.3</v>
      </c>
      <c r="O45" s="39">
        <v>5500</v>
      </c>
      <c r="P45" s="183"/>
      <c r="Q45" s="196"/>
    </row>
    <row r="46" spans="1:17" ht="39.950000000000003" customHeight="1" thickBot="1" x14ac:dyDescent="0.4">
      <c r="A46" s="227" t="s">
        <v>184</v>
      </c>
      <c r="B46" s="139" t="s">
        <v>26</v>
      </c>
      <c r="C46" s="277"/>
      <c r="D46" s="332"/>
      <c r="E46" s="34">
        <v>150000</v>
      </c>
      <c r="F46" s="69">
        <v>599150</v>
      </c>
      <c r="G46" s="235" t="s">
        <v>235</v>
      </c>
      <c r="H46" s="42">
        <v>46240</v>
      </c>
      <c r="I46" s="42" t="s">
        <v>221</v>
      </c>
      <c r="J46" s="43">
        <v>49950</v>
      </c>
      <c r="K46" s="43" t="s">
        <v>222</v>
      </c>
      <c r="L46" s="43">
        <v>56820</v>
      </c>
      <c r="M46" s="253" t="s">
        <v>223</v>
      </c>
      <c r="N46" s="44">
        <v>38200</v>
      </c>
      <c r="O46" s="39">
        <v>3000</v>
      </c>
      <c r="P46" s="183" t="s">
        <v>107</v>
      </c>
      <c r="Q46" s="196"/>
    </row>
    <row r="47" spans="1:17" ht="39.950000000000003" customHeight="1" thickBot="1" x14ac:dyDescent="0.4">
      <c r="A47" s="227" t="s">
        <v>185</v>
      </c>
      <c r="B47" s="165" t="s">
        <v>24</v>
      </c>
      <c r="C47" s="282"/>
      <c r="D47" s="337"/>
      <c r="E47" s="99">
        <v>100000</v>
      </c>
      <c r="F47" s="100">
        <v>784310</v>
      </c>
      <c r="G47" s="235" t="s">
        <v>235</v>
      </c>
      <c r="H47" s="101">
        <v>46240</v>
      </c>
      <c r="I47" s="42" t="s">
        <v>221</v>
      </c>
      <c r="J47" s="102">
        <v>49950</v>
      </c>
      <c r="K47" s="43" t="s">
        <v>222</v>
      </c>
      <c r="L47" s="102">
        <v>56820</v>
      </c>
      <c r="M47" s="253" t="s">
        <v>223</v>
      </c>
      <c r="N47" s="103">
        <v>38200</v>
      </c>
      <c r="O47" s="104">
        <v>3000</v>
      </c>
      <c r="P47" s="193" t="s">
        <v>107</v>
      </c>
      <c r="Q47" s="196"/>
    </row>
    <row r="48" spans="1:17" ht="39.950000000000003" customHeight="1" thickTop="1" thickBot="1" x14ac:dyDescent="0.4">
      <c r="A48" s="227" t="s">
        <v>255</v>
      </c>
      <c r="B48" s="145" t="s">
        <v>123</v>
      </c>
      <c r="C48" s="280"/>
      <c r="D48" s="335"/>
      <c r="E48" s="99"/>
      <c r="F48" s="100">
        <f>(465300+129800)*1.1</f>
        <v>654610</v>
      </c>
      <c r="G48" s="236" t="s">
        <v>256</v>
      </c>
      <c r="H48" s="101">
        <f>42804.3*1.1</f>
        <v>47084.73000000001</v>
      </c>
      <c r="I48" s="236" t="s">
        <v>256</v>
      </c>
      <c r="J48" s="101">
        <f t="shared" ref="J48:N48" si="11">42804.3*1.1</f>
        <v>47084.73000000001</v>
      </c>
      <c r="K48" s="101" t="s">
        <v>257</v>
      </c>
      <c r="L48" s="101">
        <f t="shared" si="11"/>
        <v>47084.73000000001</v>
      </c>
      <c r="M48" s="101" t="s">
        <v>258</v>
      </c>
      <c r="N48" s="101">
        <f t="shared" si="11"/>
        <v>47084.73000000001</v>
      </c>
      <c r="O48" s="104">
        <v>5500</v>
      </c>
      <c r="P48" s="193"/>
      <c r="Q48" s="196"/>
    </row>
    <row r="49" spans="1:17" ht="39.950000000000003" customHeight="1" thickTop="1" thickBot="1" x14ac:dyDescent="0.4">
      <c r="A49" s="227" t="s">
        <v>190</v>
      </c>
      <c r="B49" s="141" t="s">
        <v>126</v>
      </c>
      <c r="C49" s="281"/>
      <c r="D49" s="336"/>
      <c r="E49" s="95"/>
      <c r="F49" s="96">
        <f>(653000+148000)*1.1</f>
        <v>881100.00000000012</v>
      </c>
      <c r="G49" s="237" t="s">
        <v>259</v>
      </c>
      <c r="H49" s="97">
        <f>55913*1.1</f>
        <v>61504.3</v>
      </c>
      <c r="I49" s="237" t="s">
        <v>259</v>
      </c>
      <c r="J49" s="97">
        <f t="shared" ref="J49:N49" si="12">55913*1.1</f>
        <v>61504.3</v>
      </c>
      <c r="K49" s="97" t="s">
        <v>260</v>
      </c>
      <c r="L49" s="97">
        <f t="shared" si="12"/>
        <v>61504.3</v>
      </c>
      <c r="M49" s="97" t="s">
        <v>261</v>
      </c>
      <c r="N49" s="97">
        <f t="shared" si="12"/>
        <v>61504.3</v>
      </c>
      <c r="O49" s="98">
        <v>5500</v>
      </c>
      <c r="P49" s="189"/>
      <c r="Q49" s="196"/>
    </row>
    <row r="50" spans="1:17" ht="39.950000000000003" customHeight="1" thickBot="1" x14ac:dyDescent="0.4">
      <c r="A50" s="227" t="s">
        <v>186</v>
      </c>
      <c r="B50" s="162" t="s">
        <v>29</v>
      </c>
      <c r="C50" s="283"/>
      <c r="D50" s="338"/>
      <c r="E50" s="33">
        <v>60000</v>
      </c>
      <c r="F50" s="153">
        <v>495760</v>
      </c>
      <c r="G50" s="238" t="s">
        <v>248</v>
      </c>
      <c r="H50" s="154">
        <v>10980</v>
      </c>
      <c r="I50" s="238" t="s">
        <v>248</v>
      </c>
      <c r="J50" s="163">
        <v>10980</v>
      </c>
      <c r="K50" s="238" t="s">
        <v>248</v>
      </c>
      <c r="L50" s="163">
        <v>10980</v>
      </c>
      <c r="M50" s="256" t="s">
        <v>229</v>
      </c>
      <c r="N50" s="164">
        <v>6530</v>
      </c>
      <c r="O50" s="94">
        <v>3000</v>
      </c>
      <c r="P50" s="191" t="s">
        <v>108</v>
      </c>
      <c r="Q50" s="196"/>
    </row>
    <row r="51" spans="1:17" ht="39.950000000000003" customHeight="1" thickBot="1" x14ac:dyDescent="0.4">
      <c r="A51" s="227" t="s">
        <v>175</v>
      </c>
      <c r="B51" s="148" t="s">
        <v>27</v>
      </c>
      <c r="C51" s="277"/>
      <c r="D51" s="332"/>
      <c r="E51" s="34">
        <v>60000</v>
      </c>
      <c r="F51" s="69">
        <v>557740</v>
      </c>
      <c r="G51" s="238" t="s">
        <v>248</v>
      </c>
      <c r="H51" s="42">
        <v>10980</v>
      </c>
      <c r="I51" s="238" t="s">
        <v>248</v>
      </c>
      <c r="J51" s="43">
        <v>10980</v>
      </c>
      <c r="K51" s="238" t="s">
        <v>248</v>
      </c>
      <c r="L51" s="43">
        <v>10980</v>
      </c>
      <c r="M51" s="256" t="s">
        <v>229</v>
      </c>
      <c r="N51" s="44">
        <v>6530</v>
      </c>
      <c r="O51" s="39">
        <v>3000</v>
      </c>
      <c r="P51" s="183" t="s">
        <v>108</v>
      </c>
      <c r="Q51" s="196"/>
    </row>
    <row r="52" spans="1:17" ht="39.950000000000003" customHeight="1" thickBot="1" x14ac:dyDescent="0.4">
      <c r="A52" s="227" t="s">
        <v>191</v>
      </c>
      <c r="B52" s="150" t="s">
        <v>127</v>
      </c>
      <c r="C52" s="284"/>
      <c r="D52" s="339"/>
      <c r="E52" s="34"/>
      <c r="F52" s="69">
        <f>(422000+128000)*1.1</f>
        <v>605000</v>
      </c>
      <c r="G52" s="235" t="s">
        <v>263</v>
      </c>
      <c r="H52" s="42">
        <f>22871*1.1</f>
        <v>25158.100000000002</v>
      </c>
      <c r="I52" s="235" t="s">
        <v>263</v>
      </c>
      <c r="J52" s="42">
        <f t="shared" ref="J52:N52" si="13">22871*1.1</f>
        <v>25158.100000000002</v>
      </c>
      <c r="K52" s="235" t="s">
        <v>263</v>
      </c>
      <c r="L52" s="42">
        <f t="shared" si="13"/>
        <v>25158.100000000002</v>
      </c>
      <c r="M52" s="235" t="s">
        <v>263</v>
      </c>
      <c r="N52" s="42">
        <f t="shared" si="13"/>
        <v>25158.100000000002</v>
      </c>
      <c r="O52" s="39">
        <v>5500</v>
      </c>
      <c r="P52" s="183"/>
      <c r="Q52" s="196"/>
    </row>
    <row r="53" spans="1:17" ht="39.950000000000003" customHeight="1" thickBot="1" x14ac:dyDescent="0.4">
      <c r="A53" s="227" t="s">
        <v>176</v>
      </c>
      <c r="B53" s="166" t="s">
        <v>31</v>
      </c>
      <c r="C53" s="270"/>
      <c r="D53" s="325"/>
      <c r="E53" s="85" t="s">
        <v>102</v>
      </c>
      <c r="F53" s="86">
        <v>160160</v>
      </c>
      <c r="G53" s="230" t="s">
        <v>249</v>
      </c>
      <c r="H53" s="87">
        <v>1390</v>
      </c>
      <c r="I53" s="230" t="s">
        <v>249</v>
      </c>
      <c r="J53" s="88">
        <v>1390</v>
      </c>
      <c r="K53" s="230" t="s">
        <v>249</v>
      </c>
      <c r="L53" s="88">
        <v>1390</v>
      </c>
      <c r="M53" s="230" t="s">
        <v>249</v>
      </c>
      <c r="N53" s="89">
        <v>1110</v>
      </c>
      <c r="O53" s="126">
        <v>3000</v>
      </c>
      <c r="P53" s="185" t="s">
        <v>108</v>
      </c>
      <c r="Q53" s="196"/>
    </row>
    <row r="54" spans="1:17" ht="39.950000000000003" customHeight="1" thickTop="1" thickBot="1" x14ac:dyDescent="0.4">
      <c r="A54" s="227" t="s">
        <v>192</v>
      </c>
      <c r="B54" s="167" t="s">
        <v>128</v>
      </c>
      <c r="C54" s="285"/>
      <c r="D54" s="340"/>
      <c r="E54" s="95"/>
      <c r="F54" s="169">
        <f>(472000+128000)*1.1</f>
        <v>660000</v>
      </c>
      <c r="G54" s="235" t="s">
        <v>263</v>
      </c>
      <c r="H54" s="175">
        <f>22871*1.1</f>
        <v>25158.100000000002</v>
      </c>
      <c r="I54" s="235" t="s">
        <v>263</v>
      </c>
      <c r="J54" s="175">
        <f t="shared" ref="J54:N55" si="14">22871*1.1</f>
        <v>25158.100000000002</v>
      </c>
      <c r="K54" s="235" t="s">
        <v>263</v>
      </c>
      <c r="L54" s="175">
        <f t="shared" si="14"/>
        <v>25158.100000000002</v>
      </c>
      <c r="M54" s="235" t="s">
        <v>263</v>
      </c>
      <c r="N54" s="175">
        <f t="shared" si="14"/>
        <v>25158.100000000002</v>
      </c>
      <c r="O54" s="98">
        <v>5500</v>
      </c>
      <c r="P54" s="189"/>
      <c r="Q54" s="196"/>
    </row>
    <row r="55" spans="1:17" ht="39.950000000000003" customHeight="1" thickBot="1" x14ac:dyDescent="0.4">
      <c r="A55" s="227" t="s">
        <v>193</v>
      </c>
      <c r="B55" s="168" t="s">
        <v>129</v>
      </c>
      <c r="C55" s="286"/>
      <c r="D55" s="341"/>
      <c r="E55" s="33"/>
      <c r="F55" s="170">
        <f>(412000+128000+83495)*1.1</f>
        <v>685844.5</v>
      </c>
      <c r="G55" s="235" t="s">
        <v>263</v>
      </c>
      <c r="H55" s="176">
        <f>22871*1.1</f>
        <v>25158.100000000002</v>
      </c>
      <c r="I55" s="235" t="s">
        <v>263</v>
      </c>
      <c r="J55" s="176">
        <f t="shared" si="14"/>
        <v>25158.100000000002</v>
      </c>
      <c r="K55" s="235" t="s">
        <v>263</v>
      </c>
      <c r="L55" s="176">
        <f t="shared" si="14"/>
        <v>25158.100000000002</v>
      </c>
      <c r="M55" s="235" t="s">
        <v>263</v>
      </c>
      <c r="N55" s="176">
        <f t="shared" si="14"/>
        <v>25158.100000000002</v>
      </c>
      <c r="O55" s="94">
        <v>5500</v>
      </c>
      <c r="P55" s="191"/>
      <c r="Q55" s="196"/>
    </row>
    <row r="56" spans="1:17" ht="39.950000000000003" customHeight="1" thickBot="1" x14ac:dyDescent="0.4">
      <c r="A56" s="227" t="s">
        <v>187</v>
      </c>
      <c r="B56" s="139" t="s">
        <v>28</v>
      </c>
      <c r="C56" s="277"/>
      <c r="D56" s="332"/>
      <c r="E56" s="34">
        <v>50000</v>
      </c>
      <c r="F56" s="135">
        <v>615765</v>
      </c>
      <c r="G56" s="233" t="s">
        <v>248</v>
      </c>
      <c r="H56" s="121">
        <v>10980</v>
      </c>
      <c r="I56" s="233" t="s">
        <v>248</v>
      </c>
      <c r="J56" s="122">
        <v>10980</v>
      </c>
      <c r="K56" s="233" t="s">
        <v>248</v>
      </c>
      <c r="L56" s="122">
        <v>10980</v>
      </c>
      <c r="M56" s="254" t="s">
        <v>264</v>
      </c>
      <c r="N56" s="123">
        <v>6530</v>
      </c>
      <c r="O56" s="39">
        <v>3000</v>
      </c>
      <c r="P56" s="183" t="s">
        <v>108</v>
      </c>
      <c r="Q56" s="196"/>
    </row>
    <row r="57" spans="1:17" ht="39.950000000000003" customHeight="1" thickBot="1" x14ac:dyDescent="0.4">
      <c r="A57" s="227" t="s">
        <v>188</v>
      </c>
      <c r="B57" s="140" t="s">
        <v>25</v>
      </c>
      <c r="C57" s="287"/>
      <c r="D57" s="342"/>
      <c r="E57" s="99">
        <v>50000</v>
      </c>
      <c r="F57" s="171" t="s">
        <v>188</v>
      </c>
      <c r="G57" s="233" t="s">
        <v>248</v>
      </c>
      <c r="H57" s="172">
        <v>10980</v>
      </c>
      <c r="I57" s="233" t="s">
        <v>248</v>
      </c>
      <c r="J57" s="173">
        <v>10980</v>
      </c>
      <c r="K57" s="233" t="s">
        <v>248</v>
      </c>
      <c r="L57" s="173">
        <v>10980</v>
      </c>
      <c r="M57" s="254" t="s">
        <v>264</v>
      </c>
      <c r="N57" s="174">
        <v>6530</v>
      </c>
      <c r="O57" s="104">
        <v>3000</v>
      </c>
      <c r="P57" s="193" t="s">
        <v>108</v>
      </c>
      <c r="Q57" s="196"/>
    </row>
    <row r="58" spans="1:17" ht="39.950000000000003" customHeight="1" thickTop="1" thickBot="1" x14ac:dyDescent="0.4">
      <c r="A58" s="227" t="s">
        <v>178</v>
      </c>
      <c r="B58" s="162" t="s">
        <v>30</v>
      </c>
      <c r="C58" s="283"/>
      <c r="D58" s="338"/>
      <c r="E58" s="33" t="s">
        <v>102</v>
      </c>
      <c r="F58" s="153">
        <v>185630</v>
      </c>
      <c r="G58" s="230" t="s">
        <v>249</v>
      </c>
      <c r="H58" s="154">
        <v>1390</v>
      </c>
      <c r="I58" s="230" t="s">
        <v>249</v>
      </c>
      <c r="J58" s="163">
        <v>1390</v>
      </c>
      <c r="K58" s="230" t="s">
        <v>249</v>
      </c>
      <c r="L58" s="163">
        <v>1390</v>
      </c>
      <c r="M58" s="232" t="s">
        <v>249</v>
      </c>
      <c r="N58" s="377">
        <v>1110</v>
      </c>
      <c r="O58" s="94">
        <v>3000</v>
      </c>
      <c r="P58" s="191" t="s">
        <v>108</v>
      </c>
      <c r="Q58" s="196"/>
    </row>
    <row r="59" spans="1:17" ht="39.950000000000003" customHeight="1" thickBot="1" x14ac:dyDescent="0.4">
      <c r="A59" s="227"/>
      <c r="B59" s="402" t="s">
        <v>45</v>
      </c>
      <c r="C59" s="403"/>
      <c r="D59" s="403"/>
      <c r="E59" s="403"/>
      <c r="F59" s="403"/>
      <c r="G59" s="403"/>
      <c r="H59" s="403"/>
      <c r="I59" s="403"/>
      <c r="J59" s="403"/>
      <c r="K59" s="403"/>
      <c r="L59" s="403"/>
      <c r="M59" s="403"/>
      <c r="N59" s="404"/>
      <c r="O59" s="37"/>
      <c r="P59" s="183"/>
      <c r="Q59" s="196"/>
    </row>
    <row r="60" spans="1:17" ht="39.950000000000003" customHeight="1" thickBot="1" x14ac:dyDescent="0.4">
      <c r="A60" s="227" t="s">
        <v>265</v>
      </c>
      <c r="B60" s="4" t="s">
        <v>34</v>
      </c>
      <c r="C60" s="288"/>
      <c r="D60" s="343"/>
      <c r="E60" s="16"/>
      <c r="F60" s="71" t="s">
        <v>111</v>
      </c>
      <c r="G60" s="239"/>
      <c r="H60" s="412"/>
      <c r="I60" s="412"/>
      <c r="J60" s="412"/>
      <c r="K60" s="412"/>
      <c r="L60" s="412"/>
      <c r="M60" s="412"/>
      <c r="N60" s="413"/>
      <c r="O60" s="37"/>
      <c r="P60" s="183"/>
      <c r="Q60" s="196"/>
    </row>
    <row r="61" spans="1:17" ht="39.950000000000003" customHeight="1" thickBot="1" x14ac:dyDescent="0.4">
      <c r="A61" s="227" t="s">
        <v>266</v>
      </c>
      <c r="B61" s="5" t="s">
        <v>55</v>
      </c>
      <c r="C61" s="288"/>
      <c r="D61" s="343"/>
      <c r="E61" s="16"/>
      <c r="F61" s="71" t="s">
        <v>111</v>
      </c>
      <c r="G61" s="239"/>
      <c r="H61" s="412"/>
      <c r="I61" s="412"/>
      <c r="J61" s="412"/>
      <c r="K61" s="412"/>
      <c r="L61" s="412"/>
      <c r="M61" s="412"/>
      <c r="N61" s="413"/>
      <c r="O61" s="37"/>
      <c r="P61" s="183"/>
      <c r="Q61" s="196"/>
    </row>
    <row r="62" spans="1:17" ht="39.950000000000003" customHeight="1" thickBot="1" x14ac:dyDescent="0.4">
      <c r="A62" s="227" t="s">
        <v>267</v>
      </c>
      <c r="B62" s="5" t="s">
        <v>46</v>
      </c>
      <c r="C62" s="288"/>
      <c r="D62" s="343"/>
      <c r="E62" s="16"/>
      <c r="F62" s="71" t="s">
        <v>111</v>
      </c>
      <c r="G62" s="239"/>
      <c r="H62" s="412"/>
      <c r="I62" s="412"/>
      <c r="J62" s="412"/>
      <c r="K62" s="412"/>
      <c r="L62" s="412"/>
      <c r="M62" s="412"/>
      <c r="N62" s="413"/>
      <c r="O62" s="37"/>
      <c r="P62" s="183"/>
      <c r="Q62" s="196"/>
    </row>
    <row r="63" spans="1:17" ht="39.950000000000003" customHeight="1" thickBot="1" x14ac:dyDescent="0.4">
      <c r="A63" s="227" t="s">
        <v>268</v>
      </c>
      <c r="B63" s="5" t="s">
        <v>38</v>
      </c>
      <c r="C63" s="288"/>
      <c r="D63" s="343"/>
      <c r="E63" s="16"/>
      <c r="F63" s="71" t="s">
        <v>111</v>
      </c>
      <c r="G63" s="239"/>
      <c r="H63" s="412"/>
      <c r="I63" s="412"/>
      <c r="J63" s="412"/>
      <c r="K63" s="412"/>
      <c r="L63" s="412"/>
      <c r="M63" s="412"/>
      <c r="N63" s="413"/>
      <c r="O63" s="37"/>
      <c r="P63" s="183"/>
      <c r="Q63" s="196"/>
    </row>
    <row r="64" spans="1:17" ht="39.950000000000003" customHeight="1" thickBot="1" x14ac:dyDescent="0.4">
      <c r="A64" s="227"/>
      <c r="B64" s="6" t="s">
        <v>37</v>
      </c>
      <c r="C64" s="289"/>
      <c r="D64" s="344"/>
      <c r="E64" s="17"/>
      <c r="F64" s="71" t="s">
        <v>111</v>
      </c>
      <c r="G64" s="239"/>
      <c r="H64" s="412"/>
      <c r="I64" s="412"/>
      <c r="J64" s="412"/>
      <c r="K64" s="412"/>
      <c r="L64" s="412"/>
      <c r="M64" s="412"/>
      <c r="N64" s="413"/>
      <c r="O64" s="37"/>
      <c r="P64" s="183"/>
      <c r="Q64" s="196"/>
    </row>
    <row r="65" spans="1:17" ht="39.950000000000003" customHeight="1" thickBot="1" x14ac:dyDescent="0.4">
      <c r="A65" s="227" t="s">
        <v>269</v>
      </c>
      <c r="B65" s="6" t="s">
        <v>94</v>
      </c>
      <c r="C65" s="289"/>
      <c r="D65" s="344"/>
      <c r="E65" s="17"/>
      <c r="F65" s="71" t="s">
        <v>111</v>
      </c>
      <c r="G65" s="239"/>
      <c r="H65" s="412"/>
      <c r="I65" s="412"/>
      <c r="J65" s="412"/>
      <c r="K65" s="412"/>
      <c r="L65" s="412"/>
      <c r="M65" s="412"/>
      <c r="N65" s="413"/>
      <c r="O65" s="37"/>
      <c r="P65" s="183"/>
      <c r="Q65" s="196"/>
    </row>
    <row r="66" spans="1:17" ht="39.950000000000003" customHeight="1" thickBot="1" x14ac:dyDescent="0.4">
      <c r="A66" s="227" t="s">
        <v>270</v>
      </c>
      <c r="B66" s="6" t="s">
        <v>95</v>
      </c>
      <c r="C66" s="289"/>
      <c r="D66" s="344"/>
      <c r="E66" s="17"/>
      <c r="F66" s="71" t="s">
        <v>111</v>
      </c>
      <c r="G66" s="239"/>
      <c r="H66" s="412"/>
      <c r="I66" s="412"/>
      <c r="J66" s="412"/>
      <c r="K66" s="412"/>
      <c r="L66" s="412"/>
      <c r="M66" s="412"/>
      <c r="N66" s="413"/>
      <c r="O66" s="37"/>
      <c r="P66" s="183"/>
      <c r="Q66" s="196"/>
    </row>
    <row r="67" spans="1:17" ht="39.950000000000003" customHeight="1" thickBot="1" x14ac:dyDescent="0.4">
      <c r="A67" s="227" t="s">
        <v>271</v>
      </c>
      <c r="B67" s="6" t="s">
        <v>35</v>
      </c>
      <c r="C67" s="289"/>
      <c r="D67" s="344"/>
      <c r="E67" s="17"/>
      <c r="F67" s="71" t="s">
        <v>111</v>
      </c>
      <c r="G67" s="239"/>
      <c r="H67" s="412"/>
      <c r="I67" s="412"/>
      <c r="J67" s="412"/>
      <c r="K67" s="412"/>
      <c r="L67" s="412"/>
      <c r="M67" s="412"/>
      <c r="N67" s="413"/>
      <c r="O67" s="37"/>
      <c r="P67" s="183"/>
      <c r="Q67" s="196"/>
    </row>
    <row r="68" spans="1:17" ht="39.950000000000003" customHeight="1" thickBot="1" x14ac:dyDescent="0.4">
      <c r="A68" s="227" t="s">
        <v>271</v>
      </c>
      <c r="B68" s="2" t="s">
        <v>36</v>
      </c>
      <c r="C68" s="289"/>
      <c r="D68" s="344"/>
      <c r="E68" s="17"/>
      <c r="F68" s="71" t="s">
        <v>111</v>
      </c>
      <c r="G68" s="239"/>
      <c r="H68" s="412"/>
      <c r="I68" s="412"/>
      <c r="J68" s="412"/>
      <c r="K68" s="412"/>
      <c r="L68" s="412"/>
      <c r="M68" s="412"/>
      <c r="N68" s="413"/>
      <c r="O68" s="37"/>
      <c r="P68" s="183"/>
      <c r="Q68" s="196"/>
    </row>
    <row r="69" spans="1:17" ht="39.950000000000003" customHeight="1" thickBot="1" x14ac:dyDescent="0.4">
      <c r="A69" s="227" t="s">
        <v>272</v>
      </c>
      <c r="B69" s="2" t="s">
        <v>97</v>
      </c>
      <c r="C69" s="289"/>
      <c r="D69" s="344"/>
      <c r="E69" s="17"/>
      <c r="F69" s="71" t="s">
        <v>111</v>
      </c>
      <c r="G69" s="239"/>
      <c r="H69" s="412"/>
      <c r="I69" s="412"/>
      <c r="J69" s="412"/>
      <c r="K69" s="412"/>
      <c r="L69" s="412"/>
      <c r="M69" s="412"/>
      <c r="N69" s="413"/>
      <c r="O69" s="37"/>
      <c r="P69" s="183"/>
      <c r="Q69" s="196"/>
    </row>
    <row r="70" spans="1:17" ht="39.950000000000003" customHeight="1" thickBot="1" x14ac:dyDescent="0.4">
      <c r="A70" s="227" t="s">
        <v>273</v>
      </c>
      <c r="B70" s="14" t="s">
        <v>96</v>
      </c>
      <c r="C70" s="290"/>
      <c r="D70" s="345"/>
      <c r="E70" s="18"/>
      <c r="F70" s="71" t="s">
        <v>111</v>
      </c>
      <c r="G70" s="239"/>
      <c r="H70" s="412"/>
      <c r="I70" s="412"/>
      <c r="J70" s="412"/>
      <c r="K70" s="412"/>
      <c r="L70" s="412"/>
      <c r="M70" s="412"/>
      <c r="N70" s="413"/>
      <c r="O70" s="37"/>
      <c r="P70" s="183"/>
      <c r="Q70" s="196"/>
    </row>
    <row r="71" spans="1:17" ht="39.950000000000003" customHeight="1" thickBot="1" x14ac:dyDescent="0.4">
      <c r="A71" s="227"/>
      <c r="B71" s="402" t="s">
        <v>4</v>
      </c>
      <c r="C71" s="403"/>
      <c r="D71" s="403"/>
      <c r="E71" s="403"/>
      <c r="F71" s="403"/>
      <c r="G71" s="403"/>
      <c r="H71" s="403"/>
      <c r="I71" s="403"/>
      <c r="J71" s="403"/>
      <c r="K71" s="403"/>
      <c r="L71" s="403"/>
      <c r="M71" s="403"/>
      <c r="N71" s="404"/>
      <c r="O71" s="37"/>
      <c r="P71" s="183"/>
      <c r="Q71" s="196"/>
    </row>
    <row r="72" spans="1:17" ht="20.100000000000001" customHeight="1" thickBot="1" x14ac:dyDescent="0.4">
      <c r="A72" s="227"/>
      <c r="B72" s="458" t="s">
        <v>86</v>
      </c>
      <c r="C72" s="261"/>
      <c r="D72" s="315"/>
      <c r="E72" s="453"/>
      <c r="F72" s="431" t="s">
        <v>16</v>
      </c>
      <c r="G72" s="228"/>
      <c r="H72" s="416" t="s">
        <v>14</v>
      </c>
      <c r="I72" s="416"/>
      <c r="J72" s="417"/>
      <c r="K72" s="417"/>
      <c r="L72" s="417"/>
      <c r="M72" s="417"/>
      <c r="N72" s="418"/>
      <c r="O72" s="38" t="s">
        <v>105</v>
      </c>
      <c r="P72" s="184" t="s">
        <v>106</v>
      </c>
      <c r="Q72" s="196"/>
    </row>
    <row r="73" spans="1:17" ht="30" customHeight="1" thickBot="1" x14ac:dyDescent="0.4">
      <c r="A73" s="227"/>
      <c r="B73" s="459"/>
      <c r="C73" s="274"/>
      <c r="D73" s="329"/>
      <c r="E73" s="454"/>
      <c r="F73" s="435"/>
      <c r="G73" s="231"/>
      <c r="H73" s="54" t="s">
        <v>84</v>
      </c>
      <c r="I73" s="54"/>
      <c r="J73" s="55" t="s">
        <v>0</v>
      </c>
      <c r="K73" s="55"/>
      <c r="L73" s="55" t="s">
        <v>87</v>
      </c>
      <c r="M73" s="257"/>
      <c r="N73" s="56" t="s">
        <v>1</v>
      </c>
      <c r="O73" s="37"/>
      <c r="P73" s="183"/>
      <c r="Q73" s="196"/>
    </row>
    <row r="74" spans="1:17" ht="39.950000000000003" customHeight="1" thickBot="1" x14ac:dyDescent="0.4">
      <c r="A74" s="227" t="s">
        <v>274</v>
      </c>
      <c r="B74" s="177" t="s">
        <v>130</v>
      </c>
      <c r="C74" s="291"/>
      <c r="D74" s="346"/>
      <c r="E74" s="19"/>
      <c r="F74" s="72">
        <v>39870</v>
      </c>
      <c r="G74" s="240"/>
      <c r="H74" s="411" t="s">
        <v>15</v>
      </c>
      <c r="I74" s="411"/>
      <c r="J74" s="390"/>
      <c r="K74" s="390"/>
      <c r="L74" s="390"/>
      <c r="M74" s="390"/>
      <c r="N74" s="391"/>
      <c r="O74" s="39">
        <v>500</v>
      </c>
      <c r="P74" s="183" t="s">
        <v>108</v>
      </c>
      <c r="Q74" s="196"/>
    </row>
    <row r="75" spans="1:17" ht="24.95" customHeight="1" thickBot="1" x14ac:dyDescent="0.4">
      <c r="A75" s="227" t="s">
        <v>277</v>
      </c>
      <c r="B75" s="178" t="s">
        <v>63</v>
      </c>
      <c r="C75" s="292"/>
      <c r="D75" s="347"/>
      <c r="E75" s="15"/>
      <c r="F75" s="72" t="s">
        <v>112</v>
      </c>
      <c r="G75" s="206"/>
      <c r="H75" s="412"/>
      <c r="I75" s="412"/>
      <c r="J75" s="412"/>
      <c r="K75" s="412"/>
      <c r="L75" s="412"/>
      <c r="M75" s="412"/>
      <c r="N75" s="413"/>
      <c r="O75" s="37"/>
      <c r="P75" s="183"/>
      <c r="Q75" s="196"/>
    </row>
    <row r="76" spans="1:17" ht="24.95" customHeight="1" thickBot="1" x14ac:dyDescent="0.4">
      <c r="A76" s="227" t="s">
        <v>278</v>
      </c>
      <c r="B76" s="178" t="s">
        <v>62</v>
      </c>
      <c r="C76" s="292"/>
      <c r="D76" s="347"/>
      <c r="E76" s="15"/>
      <c r="F76" s="72" t="s">
        <v>112</v>
      </c>
      <c r="G76" s="241"/>
      <c r="H76" s="414"/>
      <c r="I76" s="414"/>
      <c r="J76" s="414"/>
      <c r="K76" s="414"/>
      <c r="L76" s="414"/>
      <c r="M76" s="414"/>
      <c r="N76" s="415"/>
      <c r="O76" s="37"/>
      <c r="P76" s="183"/>
      <c r="Q76" s="196"/>
    </row>
    <row r="77" spans="1:17" ht="24.95" customHeight="1" thickBot="1" x14ac:dyDescent="0.4">
      <c r="A77" s="227" t="s">
        <v>275</v>
      </c>
      <c r="B77" s="180" t="s">
        <v>132</v>
      </c>
      <c r="C77" s="293"/>
      <c r="D77" s="348"/>
      <c r="E77" s="15"/>
      <c r="F77" s="72">
        <f>42374*1.1</f>
        <v>46611.4</v>
      </c>
      <c r="G77" s="241"/>
      <c r="H77" s="82"/>
      <c r="I77" s="82"/>
      <c r="J77" s="82"/>
      <c r="K77" s="82"/>
      <c r="L77" s="82"/>
      <c r="M77" s="82"/>
      <c r="N77" s="83"/>
      <c r="O77" s="37"/>
      <c r="P77" s="183"/>
      <c r="Q77" s="196"/>
    </row>
    <row r="78" spans="1:17" ht="39.950000000000003" customHeight="1" thickBot="1" x14ac:dyDescent="0.4">
      <c r="A78" s="227" t="s">
        <v>279</v>
      </c>
      <c r="B78" s="181" t="s">
        <v>133</v>
      </c>
      <c r="C78" s="294"/>
      <c r="D78" s="349"/>
      <c r="E78" s="19"/>
      <c r="F78" s="72">
        <v>34470</v>
      </c>
      <c r="G78" s="242"/>
      <c r="H78" s="396" t="s">
        <v>6</v>
      </c>
      <c r="I78" s="396"/>
      <c r="J78" s="397"/>
      <c r="K78" s="397"/>
      <c r="L78" s="397"/>
      <c r="M78" s="397"/>
      <c r="N78" s="398"/>
      <c r="O78" s="39">
        <v>3000</v>
      </c>
      <c r="P78" s="183" t="s">
        <v>108</v>
      </c>
      <c r="Q78" s="196"/>
    </row>
    <row r="79" spans="1:17" ht="39.950000000000003" customHeight="1" thickBot="1" x14ac:dyDescent="0.4">
      <c r="A79" s="227" t="s">
        <v>280</v>
      </c>
      <c r="B79" s="182" t="s">
        <v>134</v>
      </c>
      <c r="C79" s="284"/>
      <c r="D79" s="339"/>
      <c r="E79" s="19"/>
      <c r="F79" s="72">
        <f>39589*1.1</f>
        <v>43547.9</v>
      </c>
      <c r="G79" s="242"/>
      <c r="H79" s="79"/>
      <c r="I79" s="79"/>
      <c r="J79" s="80"/>
      <c r="K79" s="80"/>
      <c r="L79" s="80"/>
      <c r="M79" s="80"/>
      <c r="N79" s="81"/>
      <c r="O79" s="39"/>
      <c r="P79" s="183"/>
      <c r="Q79" s="196"/>
    </row>
    <row r="80" spans="1:17" ht="39.950000000000003" customHeight="1" thickBot="1" x14ac:dyDescent="0.4">
      <c r="A80" s="227" t="s">
        <v>281</v>
      </c>
      <c r="B80" s="182" t="s">
        <v>141</v>
      </c>
      <c r="C80" s="284"/>
      <c r="D80" s="339"/>
      <c r="E80" s="19"/>
      <c r="F80" s="72">
        <f>32589*1.1</f>
        <v>35847.9</v>
      </c>
      <c r="G80" s="242"/>
      <c r="H80" s="79"/>
      <c r="I80" s="79"/>
      <c r="J80" s="80"/>
      <c r="K80" s="80"/>
      <c r="L80" s="80"/>
      <c r="M80" s="80"/>
      <c r="N80" s="81"/>
      <c r="O80" s="39"/>
      <c r="P80" s="183"/>
      <c r="Q80" s="196"/>
    </row>
    <row r="81" spans="1:17" ht="39.950000000000003" customHeight="1" thickBot="1" x14ac:dyDescent="0.4">
      <c r="A81" s="227" t="s">
        <v>276</v>
      </c>
      <c r="B81" s="182" t="s">
        <v>135</v>
      </c>
      <c r="C81" s="284"/>
      <c r="D81" s="339"/>
      <c r="E81" s="19"/>
      <c r="F81" s="72">
        <f>58675*1.1</f>
        <v>64542.500000000007</v>
      </c>
      <c r="G81" s="242"/>
      <c r="H81" s="79"/>
      <c r="I81" s="79"/>
      <c r="J81" s="80"/>
      <c r="K81" s="80"/>
      <c r="L81" s="80"/>
      <c r="M81" s="80"/>
      <c r="N81" s="81"/>
      <c r="O81" s="39"/>
      <c r="P81" s="183"/>
      <c r="Q81" s="196"/>
    </row>
    <row r="82" spans="1:17" ht="39.950000000000003" customHeight="1" thickBot="1" x14ac:dyDescent="0.4">
      <c r="A82" s="227" t="s">
        <v>286</v>
      </c>
      <c r="B82" s="181" t="s">
        <v>137</v>
      </c>
      <c r="C82" s="294"/>
      <c r="D82" s="349"/>
      <c r="E82" s="19"/>
      <c r="F82" s="72">
        <v>29760</v>
      </c>
      <c r="G82" s="242"/>
      <c r="H82" s="396" t="s">
        <v>7</v>
      </c>
      <c r="I82" s="396"/>
      <c r="J82" s="397"/>
      <c r="K82" s="397"/>
      <c r="L82" s="397"/>
      <c r="M82" s="397"/>
      <c r="N82" s="398"/>
      <c r="O82" s="39">
        <v>500</v>
      </c>
      <c r="P82" s="183" t="s">
        <v>108</v>
      </c>
      <c r="Q82" s="196"/>
    </row>
    <row r="83" spans="1:17" ht="39.950000000000003" customHeight="1" thickBot="1" x14ac:dyDescent="0.4">
      <c r="A83" s="227" t="s">
        <v>287</v>
      </c>
      <c r="B83" s="202" t="s">
        <v>136</v>
      </c>
      <c r="C83" s="295"/>
      <c r="D83" s="350"/>
      <c r="E83" s="20"/>
      <c r="F83" s="73">
        <v>68800</v>
      </c>
      <c r="G83" s="243" t="s">
        <v>287</v>
      </c>
      <c r="H83" s="45">
        <v>15420</v>
      </c>
      <c r="I83" s="45" t="s">
        <v>291</v>
      </c>
      <c r="J83" s="46">
        <v>17750</v>
      </c>
      <c r="K83" s="46" t="s">
        <v>295</v>
      </c>
      <c r="L83" s="46">
        <v>20040</v>
      </c>
      <c r="M83" s="378"/>
      <c r="N83" s="47">
        <v>12040</v>
      </c>
      <c r="O83" s="39">
        <v>2000</v>
      </c>
      <c r="P83" s="183" t="s">
        <v>109</v>
      </c>
      <c r="Q83" s="196"/>
    </row>
    <row r="84" spans="1:17" ht="39.950000000000003" customHeight="1" thickBot="1" x14ac:dyDescent="0.4">
      <c r="A84" s="227" t="s">
        <v>288</v>
      </c>
      <c r="B84" s="203" t="s">
        <v>140</v>
      </c>
      <c r="C84" s="296"/>
      <c r="D84" s="351"/>
      <c r="E84" s="21"/>
      <c r="F84" s="74">
        <v>81590</v>
      </c>
      <c r="G84" s="244" t="s">
        <v>296</v>
      </c>
      <c r="H84" s="48">
        <v>22140</v>
      </c>
      <c r="I84" s="48" t="s">
        <v>292</v>
      </c>
      <c r="J84" s="49">
        <v>24430</v>
      </c>
      <c r="K84" s="49" t="s">
        <v>297</v>
      </c>
      <c r="L84" s="49">
        <v>24430</v>
      </c>
      <c r="M84" s="379"/>
      <c r="N84" s="50">
        <v>14390</v>
      </c>
      <c r="O84" s="39">
        <v>2000</v>
      </c>
      <c r="P84" s="183" t="s">
        <v>109</v>
      </c>
      <c r="Q84" s="196"/>
    </row>
    <row r="85" spans="1:17" ht="39.950000000000003" customHeight="1" thickBot="1" x14ac:dyDescent="0.4">
      <c r="A85" s="227" t="s">
        <v>289</v>
      </c>
      <c r="B85" s="202" t="s">
        <v>138</v>
      </c>
      <c r="C85" s="295"/>
      <c r="D85" s="350"/>
      <c r="E85" s="20"/>
      <c r="F85" s="73">
        <v>76280</v>
      </c>
      <c r="G85" s="243" t="s">
        <v>298</v>
      </c>
      <c r="H85" s="45">
        <v>18670</v>
      </c>
      <c r="I85" s="45" t="s">
        <v>293</v>
      </c>
      <c r="J85" s="46">
        <v>21340</v>
      </c>
      <c r="K85" s="46" t="s">
        <v>299</v>
      </c>
      <c r="L85" s="46">
        <v>24073</v>
      </c>
      <c r="M85" s="378"/>
      <c r="N85" s="47">
        <v>12710</v>
      </c>
      <c r="O85" s="39">
        <v>2000</v>
      </c>
      <c r="P85" s="183" t="s">
        <v>109</v>
      </c>
      <c r="Q85" s="196"/>
    </row>
    <row r="86" spans="1:17" ht="39.950000000000003" customHeight="1" thickBot="1" x14ac:dyDescent="0.4">
      <c r="A86" s="227" t="s">
        <v>290</v>
      </c>
      <c r="B86" s="204" t="s">
        <v>139</v>
      </c>
      <c r="C86" s="297"/>
      <c r="D86" s="352"/>
      <c r="E86" s="22"/>
      <c r="F86" s="75">
        <v>93540</v>
      </c>
      <c r="G86" s="245" t="s">
        <v>300</v>
      </c>
      <c r="H86" s="51">
        <v>25510</v>
      </c>
      <c r="I86" s="51" t="s">
        <v>294</v>
      </c>
      <c r="J86" s="52">
        <v>31270</v>
      </c>
      <c r="K86" s="52" t="s">
        <v>301</v>
      </c>
      <c r="L86" s="52">
        <v>31270</v>
      </c>
      <c r="M86" s="380"/>
      <c r="N86" s="53">
        <v>1500</v>
      </c>
      <c r="O86" s="39">
        <v>2000</v>
      </c>
      <c r="P86" s="183" t="s">
        <v>109</v>
      </c>
      <c r="Q86" s="196"/>
    </row>
    <row r="87" spans="1:17" ht="39.950000000000003" customHeight="1" thickBot="1" x14ac:dyDescent="0.4">
      <c r="A87" s="227"/>
      <c r="B87" s="402" t="s">
        <v>21</v>
      </c>
      <c r="C87" s="403"/>
      <c r="D87" s="403"/>
      <c r="E87" s="403"/>
      <c r="F87" s="403"/>
      <c r="G87" s="403"/>
      <c r="H87" s="403"/>
      <c r="I87" s="403"/>
      <c r="J87" s="403"/>
      <c r="K87" s="403"/>
      <c r="L87" s="403"/>
      <c r="M87" s="403"/>
      <c r="N87" s="404"/>
      <c r="O87" s="37"/>
      <c r="P87" s="183"/>
      <c r="Q87" s="196"/>
    </row>
    <row r="88" spans="1:17" ht="39.950000000000003" customHeight="1" thickBot="1" x14ac:dyDescent="0.4">
      <c r="A88" s="227" t="s">
        <v>282</v>
      </c>
      <c r="B88" s="211" t="s">
        <v>22</v>
      </c>
      <c r="C88" s="298"/>
      <c r="D88" s="353"/>
      <c r="E88" s="23"/>
      <c r="F88" s="73">
        <v>790</v>
      </c>
      <c r="G88" s="240"/>
      <c r="H88" s="421" t="s">
        <v>10</v>
      </c>
      <c r="I88" s="422"/>
      <c r="J88" s="423"/>
      <c r="K88" s="423"/>
      <c r="L88" s="423"/>
      <c r="M88" s="424"/>
      <c r="N88" s="425"/>
      <c r="O88" s="37" t="s">
        <v>108</v>
      </c>
      <c r="P88" s="194" t="s">
        <v>108</v>
      </c>
      <c r="Q88" s="196"/>
    </row>
    <row r="89" spans="1:17" ht="39.950000000000003" customHeight="1" thickBot="1" x14ac:dyDescent="0.4">
      <c r="A89" s="227" t="s">
        <v>283</v>
      </c>
      <c r="B89" s="212" t="s">
        <v>99</v>
      </c>
      <c r="C89" s="300"/>
      <c r="D89" s="355"/>
      <c r="E89" s="15"/>
      <c r="F89" s="72">
        <v>8750</v>
      </c>
      <c r="G89" s="206"/>
      <c r="H89" s="426"/>
      <c r="I89" s="427"/>
      <c r="J89" s="428"/>
      <c r="K89" s="428"/>
      <c r="L89" s="428"/>
      <c r="M89" s="429"/>
      <c r="N89" s="430"/>
      <c r="O89" s="37" t="s">
        <v>108</v>
      </c>
      <c r="P89" s="194" t="s">
        <v>108</v>
      </c>
      <c r="Q89" s="196"/>
    </row>
    <row r="90" spans="1:17" ht="52.5" customHeight="1" thickBot="1" x14ac:dyDescent="0.4">
      <c r="A90" s="227" t="s">
        <v>284</v>
      </c>
      <c r="B90" s="212" t="s">
        <v>100</v>
      </c>
      <c r="C90" s="300"/>
      <c r="D90" s="355"/>
      <c r="E90" s="15"/>
      <c r="F90" s="72">
        <v>5590</v>
      </c>
      <c r="G90" s="206"/>
      <c r="H90" s="426"/>
      <c r="I90" s="427"/>
      <c r="J90" s="428"/>
      <c r="K90" s="428"/>
      <c r="L90" s="428"/>
      <c r="M90" s="429"/>
      <c r="N90" s="430"/>
      <c r="O90" s="37" t="s">
        <v>108</v>
      </c>
      <c r="P90" s="194" t="s">
        <v>108</v>
      </c>
      <c r="Q90" s="196"/>
    </row>
    <row r="91" spans="1:17" ht="39.950000000000003" customHeight="1" thickBot="1" x14ac:dyDescent="0.4">
      <c r="A91" s="227" t="s">
        <v>285</v>
      </c>
      <c r="B91" s="213" t="s">
        <v>98</v>
      </c>
      <c r="C91" s="301"/>
      <c r="D91" s="356"/>
      <c r="E91" s="25"/>
      <c r="F91" s="76">
        <v>14940</v>
      </c>
      <c r="G91" s="206"/>
      <c r="H91" s="426"/>
      <c r="I91" s="427"/>
      <c r="J91" s="428"/>
      <c r="K91" s="428"/>
      <c r="L91" s="428"/>
      <c r="M91" s="429"/>
      <c r="N91" s="430"/>
      <c r="O91" s="37" t="s">
        <v>108</v>
      </c>
      <c r="P91" s="194" t="s">
        <v>108</v>
      </c>
      <c r="Q91" s="196"/>
    </row>
    <row r="92" spans="1:17" ht="24.95" customHeight="1" thickBot="1" x14ac:dyDescent="0.4">
      <c r="A92" s="227"/>
      <c r="B92" s="60" t="s">
        <v>18</v>
      </c>
      <c r="C92" s="61"/>
      <c r="D92" s="357"/>
      <c r="E92" s="61"/>
      <c r="F92" s="61"/>
      <c r="G92" s="207"/>
      <c r="H92" s="405" t="s">
        <v>10</v>
      </c>
      <c r="I92" s="405"/>
      <c r="J92" s="405"/>
      <c r="K92" s="405"/>
      <c r="L92" s="405"/>
      <c r="M92" s="405"/>
      <c r="N92" s="406"/>
      <c r="O92" s="37"/>
      <c r="P92" s="183"/>
      <c r="Q92" s="196"/>
    </row>
    <row r="93" spans="1:17" ht="24.95" customHeight="1" thickBot="1" x14ac:dyDescent="0.4">
      <c r="A93" s="227" t="s">
        <v>302</v>
      </c>
      <c r="B93" s="211" t="s">
        <v>74</v>
      </c>
      <c r="C93" s="298"/>
      <c r="D93" s="353"/>
      <c r="E93" s="23"/>
      <c r="F93" s="73">
        <v>1980</v>
      </c>
      <c r="G93" s="206"/>
      <c r="H93" s="407"/>
      <c r="I93" s="407"/>
      <c r="J93" s="407"/>
      <c r="K93" s="407"/>
      <c r="L93" s="407"/>
      <c r="M93" s="407"/>
      <c r="N93" s="408"/>
      <c r="O93" s="37"/>
      <c r="P93" s="183"/>
      <c r="Q93" s="196"/>
    </row>
    <row r="94" spans="1:17" ht="24.95" customHeight="1" thickBot="1" x14ac:dyDescent="0.4">
      <c r="A94" s="227"/>
      <c r="B94" s="205" t="s">
        <v>75</v>
      </c>
      <c r="C94" s="299"/>
      <c r="D94" s="354"/>
      <c r="E94" s="24"/>
      <c r="F94" s="74">
        <v>1690</v>
      </c>
      <c r="G94" s="206"/>
      <c r="H94" s="407"/>
      <c r="I94" s="407"/>
      <c r="J94" s="407"/>
      <c r="K94" s="407"/>
      <c r="L94" s="407"/>
      <c r="M94" s="407"/>
      <c r="N94" s="408"/>
      <c r="O94" s="37"/>
      <c r="P94" s="183"/>
      <c r="Q94" s="196"/>
    </row>
    <row r="95" spans="1:17" ht="24.95" customHeight="1" thickBot="1" x14ac:dyDescent="0.4">
      <c r="A95" s="227" t="s">
        <v>303</v>
      </c>
      <c r="B95" s="211" t="s">
        <v>76</v>
      </c>
      <c r="C95" s="298"/>
      <c r="D95" s="353"/>
      <c r="E95" s="23"/>
      <c r="F95" s="73">
        <v>840</v>
      </c>
      <c r="G95" s="206"/>
      <c r="H95" s="407"/>
      <c r="I95" s="407"/>
      <c r="J95" s="407"/>
      <c r="K95" s="407"/>
      <c r="L95" s="407"/>
      <c r="M95" s="407"/>
      <c r="N95" s="408"/>
      <c r="O95" s="37"/>
      <c r="P95" s="183"/>
      <c r="Q95" s="196"/>
    </row>
    <row r="96" spans="1:17" ht="39.950000000000003" customHeight="1" thickBot="1" x14ac:dyDescent="0.4">
      <c r="A96" s="227"/>
      <c r="B96" s="205" t="s">
        <v>77</v>
      </c>
      <c r="C96" s="299"/>
      <c r="D96" s="354"/>
      <c r="E96" s="24"/>
      <c r="F96" s="74">
        <v>4560</v>
      </c>
      <c r="G96" s="206"/>
      <c r="H96" s="407"/>
      <c r="I96" s="407"/>
      <c r="J96" s="407"/>
      <c r="K96" s="407"/>
      <c r="L96" s="407"/>
      <c r="M96" s="407"/>
      <c r="N96" s="408"/>
      <c r="O96" s="37"/>
      <c r="P96" s="183"/>
      <c r="Q96" s="196"/>
    </row>
    <row r="97" spans="1:17" ht="39.950000000000003" customHeight="1" thickBot="1" x14ac:dyDescent="0.4">
      <c r="A97" s="227"/>
      <c r="B97" s="214" t="s">
        <v>88</v>
      </c>
      <c r="C97" s="302"/>
      <c r="D97" s="358"/>
      <c r="E97" s="26"/>
      <c r="F97" s="77" t="s">
        <v>112</v>
      </c>
      <c r="G97" s="206"/>
      <c r="H97" s="409"/>
      <c r="I97" s="409"/>
      <c r="J97" s="409"/>
      <c r="K97" s="409"/>
      <c r="L97" s="409"/>
      <c r="M97" s="409"/>
      <c r="N97" s="410"/>
      <c r="O97" s="37"/>
      <c r="P97" s="183"/>
      <c r="Q97" s="196"/>
    </row>
    <row r="98" spans="1:17" ht="39.950000000000003" customHeight="1" thickBot="1" x14ac:dyDescent="0.4">
      <c r="A98" s="227"/>
      <c r="B98" s="215" t="s">
        <v>89</v>
      </c>
      <c r="C98" s="303"/>
      <c r="D98" s="359"/>
      <c r="E98" s="27"/>
      <c r="F98" s="75" t="s">
        <v>112</v>
      </c>
      <c r="G98" s="206"/>
      <c r="H98" s="61"/>
      <c r="I98" s="61"/>
      <c r="J98" s="61"/>
      <c r="K98" s="61"/>
      <c r="L98" s="61"/>
      <c r="M98" s="61"/>
      <c r="N98" s="62"/>
      <c r="O98" s="37"/>
      <c r="P98" s="183"/>
      <c r="Q98" s="196"/>
    </row>
    <row r="99" spans="1:17" ht="39.950000000000003" customHeight="1" thickBot="1" x14ac:dyDescent="0.4">
      <c r="A99" s="227" t="s">
        <v>306</v>
      </c>
      <c r="B99" s="210" t="s">
        <v>305</v>
      </c>
      <c r="C99" s="304"/>
      <c r="D99" s="360"/>
      <c r="E99" s="84"/>
      <c r="F99" s="206">
        <f>2400*1.1</f>
        <v>2640</v>
      </c>
      <c r="G99" s="206"/>
      <c r="H99" s="207"/>
      <c r="I99" s="207"/>
      <c r="J99" s="207"/>
      <c r="K99" s="207"/>
      <c r="L99" s="207"/>
      <c r="M99" s="207"/>
      <c r="N99" s="208"/>
      <c r="O99" s="37"/>
      <c r="P99" s="183"/>
      <c r="Q99" s="196"/>
    </row>
    <row r="100" spans="1:17" ht="39.950000000000003" customHeight="1" thickBot="1" x14ac:dyDescent="0.4">
      <c r="A100" s="227" t="s">
        <v>308</v>
      </c>
      <c r="B100" s="210" t="s">
        <v>307</v>
      </c>
      <c r="C100" s="304"/>
      <c r="D100" s="360"/>
      <c r="E100" s="84"/>
      <c r="F100" s="206">
        <f>2100*1.1</f>
        <v>2310</v>
      </c>
      <c r="G100" s="206"/>
      <c r="H100" s="207"/>
      <c r="I100" s="207"/>
      <c r="J100" s="207"/>
      <c r="K100" s="207"/>
      <c r="L100" s="207"/>
      <c r="M100" s="207"/>
      <c r="N100" s="208"/>
      <c r="O100" s="37"/>
      <c r="P100" s="183"/>
      <c r="Q100" s="196"/>
    </row>
    <row r="101" spans="1:17" ht="39.950000000000003" customHeight="1" thickBot="1" x14ac:dyDescent="0.4">
      <c r="A101" s="227" t="s">
        <v>304</v>
      </c>
      <c r="B101" s="210" t="s">
        <v>142</v>
      </c>
      <c r="C101" s="304"/>
      <c r="D101" s="360"/>
      <c r="E101" s="84"/>
      <c r="F101" s="206">
        <f>2310*1.1</f>
        <v>2541</v>
      </c>
      <c r="G101" s="206"/>
      <c r="H101" s="207"/>
      <c r="I101" s="207"/>
      <c r="J101" s="207"/>
      <c r="K101" s="207"/>
      <c r="L101" s="207"/>
      <c r="M101" s="207"/>
      <c r="N101" s="208"/>
      <c r="O101" s="37"/>
      <c r="P101" s="183"/>
      <c r="Q101" s="196"/>
    </row>
    <row r="102" spans="1:17" ht="39.950000000000003" customHeight="1" thickBot="1" x14ac:dyDescent="0.4">
      <c r="A102" s="227" t="s">
        <v>310</v>
      </c>
      <c r="B102" s="210" t="s">
        <v>309</v>
      </c>
      <c r="C102" s="304"/>
      <c r="D102" s="360"/>
      <c r="E102" s="84"/>
      <c r="F102" s="206">
        <f>800*1.1</f>
        <v>880.00000000000011</v>
      </c>
      <c r="G102" s="206"/>
      <c r="H102" s="207"/>
      <c r="I102" s="207"/>
      <c r="J102" s="207"/>
      <c r="K102" s="207"/>
      <c r="L102" s="207"/>
      <c r="M102" s="207"/>
      <c r="N102" s="208"/>
      <c r="O102" s="37"/>
      <c r="P102" s="183"/>
      <c r="Q102" s="196"/>
    </row>
    <row r="103" spans="1:17" ht="39.950000000000003" customHeight="1" thickBot="1" x14ac:dyDescent="0.4">
      <c r="A103" s="227" t="s">
        <v>312</v>
      </c>
      <c r="B103" s="210" t="s">
        <v>311</v>
      </c>
      <c r="C103" s="304"/>
      <c r="D103" s="360"/>
      <c r="E103" s="84"/>
      <c r="F103" s="206"/>
      <c r="G103" s="206"/>
      <c r="H103" s="207"/>
      <c r="I103" s="207"/>
      <c r="J103" s="207"/>
      <c r="K103" s="207"/>
      <c r="L103" s="207"/>
      <c r="M103" s="207"/>
      <c r="N103" s="208"/>
      <c r="O103" s="37"/>
      <c r="P103" s="183"/>
      <c r="Q103" s="196"/>
    </row>
    <row r="104" spans="1:17" ht="39.950000000000003" customHeight="1" thickBot="1" x14ac:dyDescent="0.4">
      <c r="A104" s="227" t="s">
        <v>313</v>
      </c>
      <c r="B104" s="210" t="s">
        <v>314</v>
      </c>
      <c r="C104" s="304"/>
      <c r="D104" s="360"/>
      <c r="E104" s="84"/>
      <c r="F104" s="206"/>
      <c r="G104" s="206"/>
      <c r="H104" s="207"/>
      <c r="I104" s="207"/>
      <c r="J104" s="207"/>
      <c r="K104" s="207"/>
      <c r="L104" s="207"/>
      <c r="M104" s="207"/>
      <c r="N104" s="208"/>
      <c r="O104" s="37"/>
      <c r="P104" s="183"/>
      <c r="Q104" s="196"/>
    </row>
    <row r="105" spans="1:17" ht="39.950000000000003" customHeight="1" thickBot="1" x14ac:dyDescent="0.4">
      <c r="A105" s="227" t="s">
        <v>316</v>
      </c>
      <c r="B105" s="210" t="s">
        <v>315</v>
      </c>
      <c r="C105" s="304"/>
      <c r="D105" s="360"/>
      <c r="E105" s="84"/>
      <c r="F105" s="206"/>
      <c r="G105" s="206"/>
      <c r="H105" s="207"/>
      <c r="I105" s="207"/>
      <c r="J105" s="207"/>
      <c r="K105" s="207"/>
      <c r="L105" s="207"/>
      <c r="M105" s="207"/>
      <c r="N105" s="208"/>
      <c r="O105" s="37"/>
      <c r="P105" s="183"/>
      <c r="Q105" s="196"/>
    </row>
    <row r="106" spans="1:17" ht="39.950000000000003" customHeight="1" thickBot="1" x14ac:dyDescent="0.4">
      <c r="A106" s="227" t="s">
        <v>318</v>
      </c>
      <c r="B106" s="210" t="s">
        <v>317</v>
      </c>
      <c r="C106" s="304"/>
      <c r="D106" s="360"/>
      <c r="E106" s="84"/>
      <c r="F106" s="206"/>
      <c r="G106" s="206"/>
      <c r="H106" s="207"/>
      <c r="I106" s="207"/>
      <c r="J106" s="207"/>
      <c r="K106" s="207"/>
      <c r="L106" s="207"/>
      <c r="M106" s="207"/>
      <c r="N106" s="208"/>
      <c r="O106" s="37"/>
      <c r="P106" s="183"/>
      <c r="Q106" s="196"/>
    </row>
    <row r="107" spans="1:17" ht="39.950000000000003" customHeight="1" thickBot="1" x14ac:dyDescent="0.4">
      <c r="A107" s="227" t="s">
        <v>319</v>
      </c>
      <c r="B107" s="210" t="s">
        <v>320</v>
      </c>
      <c r="C107" s="304"/>
      <c r="D107" s="360"/>
      <c r="E107" s="84"/>
      <c r="F107" s="206">
        <f>925*1.1</f>
        <v>1017.5000000000001</v>
      </c>
      <c r="G107" s="206"/>
      <c r="H107" s="207"/>
      <c r="I107" s="207"/>
      <c r="J107" s="207"/>
      <c r="K107" s="207"/>
      <c r="L107" s="207"/>
      <c r="M107" s="207"/>
      <c r="N107" s="208"/>
      <c r="O107" s="37"/>
      <c r="P107" s="183"/>
      <c r="Q107" s="196"/>
    </row>
    <row r="108" spans="1:17" ht="39.950000000000003" customHeight="1" thickBot="1" x14ac:dyDescent="0.4">
      <c r="A108" s="227" t="s">
        <v>322</v>
      </c>
      <c r="B108" s="210" t="s">
        <v>321</v>
      </c>
      <c r="C108" s="304"/>
      <c r="D108" s="360"/>
      <c r="E108" s="84"/>
      <c r="F108" s="206">
        <f>797.5*1.1</f>
        <v>877.25000000000011</v>
      </c>
      <c r="G108" s="206"/>
      <c r="H108" s="207"/>
      <c r="I108" s="207"/>
      <c r="J108" s="207"/>
      <c r="K108" s="207"/>
      <c r="L108" s="207"/>
      <c r="M108" s="207"/>
      <c r="N108" s="208"/>
      <c r="O108" s="37"/>
      <c r="P108" s="183"/>
      <c r="Q108" s="196"/>
    </row>
    <row r="109" spans="1:17" ht="24.95" customHeight="1" thickBot="1" x14ac:dyDescent="0.4">
      <c r="A109" s="227"/>
      <c r="B109" s="60" t="s">
        <v>19</v>
      </c>
      <c r="C109" s="61"/>
      <c r="D109" s="357"/>
      <c r="E109" s="61"/>
      <c r="F109" s="61"/>
      <c r="G109" s="207"/>
      <c r="H109" s="390" t="s">
        <v>10</v>
      </c>
      <c r="I109" s="390"/>
      <c r="J109" s="390"/>
      <c r="K109" s="390"/>
      <c r="L109" s="390"/>
      <c r="M109" s="390"/>
      <c r="N109" s="391"/>
      <c r="O109" s="37"/>
      <c r="P109" s="183"/>
      <c r="Q109" s="196"/>
    </row>
    <row r="110" spans="1:17" ht="24.95" customHeight="1" thickBot="1" x14ac:dyDescent="0.4">
      <c r="A110" s="227" t="s">
        <v>323</v>
      </c>
      <c r="B110" s="211" t="s">
        <v>70</v>
      </c>
      <c r="C110" s="298"/>
      <c r="D110" s="353"/>
      <c r="E110" s="23"/>
      <c r="F110" s="73">
        <v>1860</v>
      </c>
      <c r="G110" s="206"/>
      <c r="H110" s="392"/>
      <c r="I110" s="392"/>
      <c r="J110" s="392"/>
      <c r="K110" s="392"/>
      <c r="L110" s="392"/>
      <c r="M110" s="392"/>
      <c r="N110" s="393"/>
      <c r="O110" s="37"/>
      <c r="P110" s="183"/>
      <c r="Q110" s="196"/>
    </row>
    <row r="111" spans="1:17" ht="24.95" customHeight="1" thickBot="1" x14ac:dyDescent="0.4">
      <c r="A111" s="227"/>
      <c r="B111" s="205" t="s">
        <v>71</v>
      </c>
      <c r="C111" s="299"/>
      <c r="D111" s="354"/>
      <c r="E111" s="24"/>
      <c r="F111" s="74">
        <v>1590</v>
      </c>
      <c r="G111" s="206"/>
      <c r="H111" s="392"/>
      <c r="I111" s="392"/>
      <c r="J111" s="392"/>
      <c r="K111" s="392"/>
      <c r="L111" s="392"/>
      <c r="M111" s="392"/>
      <c r="N111" s="393"/>
      <c r="O111" s="37"/>
      <c r="P111" s="183"/>
      <c r="Q111" s="196"/>
    </row>
    <row r="112" spans="1:17" ht="24.95" customHeight="1" thickBot="1" x14ac:dyDescent="0.4">
      <c r="A112" s="227" t="s">
        <v>324</v>
      </c>
      <c r="B112" s="211" t="s">
        <v>72</v>
      </c>
      <c r="C112" s="298"/>
      <c r="D112" s="353"/>
      <c r="E112" s="23"/>
      <c r="F112" s="73">
        <v>760</v>
      </c>
      <c r="G112" s="206"/>
      <c r="H112" s="392"/>
      <c r="I112" s="392"/>
      <c r="J112" s="392"/>
      <c r="K112" s="392"/>
      <c r="L112" s="392"/>
      <c r="M112" s="392"/>
      <c r="N112" s="393"/>
      <c r="O112" s="37"/>
      <c r="P112" s="183"/>
      <c r="Q112" s="196"/>
    </row>
    <row r="113" spans="1:17" ht="39.950000000000003" customHeight="1" thickBot="1" x14ac:dyDescent="0.4">
      <c r="A113" s="227"/>
      <c r="B113" s="205" t="s">
        <v>73</v>
      </c>
      <c r="C113" s="299"/>
      <c r="D113" s="354"/>
      <c r="E113" s="24"/>
      <c r="F113" s="74">
        <v>390</v>
      </c>
      <c r="G113" s="206"/>
      <c r="H113" s="392"/>
      <c r="I113" s="392"/>
      <c r="J113" s="392"/>
      <c r="K113" s="392"/>
      <c r="L113" s="392"/>
      <c r="M113" s="392"/>
      <c r="N113" s="393"/>
      <c r="O113" s="37"/>
      <c r="P113" s="183"/>
      <c r="Q113" s="196"/>
    </row>
    <row r="114" spans="1:17" ht="39.950000000000003" customHeight="1" thickBot="1" x14ac:dyDescent="0.4">
      <c r="A114" s="227" t="s">
        <v>325</v>
      </c>
      <c r="B114" s="214" t="s">
        <v>90</v>
      </c>
      <c r="C114" s="302"/>
      <c r="D114" s="358"/>
      <c r="E114" s="26"/>
      <c r="F114" s="77" t="s">
        <v>112</v>
      </c>
      <c r="G114" s="206"/>
      <c r="H114" s="394"/>
      <c r="I114" s="394"/>
      <c r="J114" s="394"/>
      <c r="K114" s="394"/>
      <c r="L114" s="394"/>
      <c r="M114" s="394"/>
      <c r="N114" s="395"/>
      <c r="O114" s="37"/>
      <c r="P114" s="183"/>
      <c r="Q114" s="196"/>
    </row>
    <row r="115" spans="1:17" ht="39.950000000000003" customHeight="1" thickBot="1" x14ac:dyDescent="0.4">
      <c r="A115" s="227" t="s">
        <v>326</v>
      </c>
      <c r="B115" s="215" t="s">
        <v>91</v>
      </c>
      <c r="C115" s="303"/>
      <c r="D115" s="359"/>
      <c r="E115" s="27"/>
      <c r="F115" s="75" t="s">
        <v>112</v>
      </c>
      <c r="G115" s="206"/>
      <c r="H115" s="61"/>
      <c r="I115" s="61"/>
      <c r="J115" s="61"/>
      <c r="K115" s="61"/>
      <c r="L115" s="61"/>
      <c r="M115" s="61"/>
      <c r="N115" s="62"/>
      <c r="O115" s="37"/>
      <c r="P115" s="183"/>
      <c r="Q115" s="196"/>
    </row>
    <row r="116" spans="1:17" ht="24.95" customHeight="1" thickBot="1" x14ac:dyDescent="0.4">
      <c r="A116" s="227"/>
      <c r="B116" s="60" t="s">
        <v>20</v>
      </c>
      <c r="C116" s="61"/>
      <c r="D116" s="357"/>
      <c r="E116" s="61"/>
      <c r="F116" s="61"/>
      <c r="G116" s="207"/>
      <c r="H116" s="390" t="s">
        <v>10</v>
      </c>
      <c r="I116" s="390"/>
      <c r="J116" s="390"/>
      <c r="K116" s="390"/>
      <c r="L116" s="390"/>
      <c r="M116" s="390"/>
      <c r="N116" s="391"/>
      <c r="O116" s="37"/>
      <c r="P116" s="183"/>
      <c r="Q116" s="196"/>
    </row>
    <row r="117" spans="1:17" ht="24.95" customHeight="1" thickBot="1" x14ac:dyDescent="0.4">
      <c r="A117" s="227" t="s">
        <v>327</v>
      </c>
      <c r="B117" s="211" t="s">
        <v>64</v>
      </c>
      <c r="C117" s="298"/>
      <c r="D117" s="353"/>
      <c r="E117" s="23"/>
      <c r="F117" s="73">
        <v>1380</v>
      </c>
      <c r="G117" s="206"/>
      <c r="H117" s="392"/>
      <c r="I117" s="392"/>
      <c r="J117" s="392"/>
      <c r="K117" s="392"/>
      <c r="L117" s="392"/>
      <c r="M117" s="392"/>
      <c r="N117" s="393"/>
      <c r="O117" s="37"/>
      <c r="P117" s="183"/>
      <c r="Q117" s="196"/>
    </row>
    <row r="118" spans="1:17" ht="24.95" customHeight="1" thickBot="1" x14ac:dyDescent="0.4">
      <c r="A118" s="227"/>
      <c r="B118" s="205" t="s">
        <v>65</v>
      </c>
      <c r="C118" s="299"/>
      <c r="D118" s="354"/>
      <c r="E118" s="24"/>
      <c r="F118" s="74">
        <v>1190</v>
      </c>
      <c r="G118" s="206"/>
      <c r="H118" s="392"/>
      <c r="I118" s="392"/>
      <c r="J118" s="392"/>
      <c r="K118" s="392"/>
      <c r="L118" s="392"/>
      <c r="M118" s="392"/>
      <c r="N118" s="393"/>
      <c r="O118" s="37"/>
      <c r="P118" s="183"/>
      <c r="Q118" s="196"/>
    </row>
    <row r="119" spans="1:17" ht="24.95" customHeight="1" thickBot="1" x14ac:dyDescent="0.4">
      <c r="A119" s="227" t="s">
        <v>328</v>
      </c>
      <c r="B119" s="211" t="s">
        <v>66</v>
      </c>
      <c r="C119" s="298"/>
      <c r="D119" s="353"/>
      <c r="E119" s="23"/>
      <c r="F119" s="73">
        <v>400</v>
      </c>
      <c r="G119" s="206"/>
      <c r="H119" s="392"/>
      <c r="I119" s="392"/>
      <c r="J119" s="392"/>
      <c r="K119" s="392"/>
      <c r="L119" s="392"/>
      <c r="M119" s="392"/>
      <c r="N119" s="393"/>
      <c r="O119" s="37"/>
      <c r="P119" s="183"/>
      <c r="Q119" s="196"/>
    </row>
    <row r="120" spans="1:17" ht="24.95" customHeight="1" thickBot="1" x14ac:dyDescent="0.4">
      <c r="A120" s="227"/>
      <c r="B120" s="205" t="s">
        <v>67</v>
      </c>
      <c r="C120" s="299"/>
      <c r="D120" s="354"/>
      <c r="E120" s="24"/>
      <c r="F120" s="74">
        <v>2540</v>
      </c>
      <c r="G120" s="206"/>
      <c r="H120" s="392"/>
      <c r="I120" s="392"/>
      <c r="J120" s="392"/>
      <c r="K120" s="392"/>
      <c r="L120" s="392"/>
      <c r="M120" s="392"/>
      <c r="N120" s="393"/>
      <c r="O120" s="37"/>
      <c r="P120" s="183"/>
      <c r="Q120" s="196"/>
    </row>
    <row r="121" spans="1:17" ht="24.95" customHeight="1" thickBot="1" x14ac:dyDescent="0.4">
      <c r="A121" s="227"/>
      <c r="B121" s="211" t="s">
        <v>68</v>
      </c>
      <c r="C121" s="298"/>
      <c r="D121" s="353"/>
      <c r="E121" s="23"/>
      <c r="F121" s="73">
        <v>510</v>
      </c>
      <c r="G121" s="206"/>
      <c r="H121" s="392"/>
      <c r="I121" s="392"/>
      <c r="J121" s="392"/>
      <c r="K121" s="392"/>
      <c r="L121" s="392"/>
      <c r="M121" s="392"/>
      <c r="N121" s="393"/>
      <c r="O121" s="37"/>
      <c r="P121" s="183"/>
      <c r="Q121" s="196"/>
    </row>
    <row r="122" spans="1:17" ht="39.950000000000003" customHeight="1" thickBot="1" x14ac:dyDescent="0.4">
      <c r="A122" s="227"/>
      <c r="B122" s="205" t="s">
        <v>69</v>
      </c>
      <c r="C122" s="299"/>
      <c r="D122" s="354"/>
      <c r="E122" s="24"/>
      <c r="F122" s="74">
        <v>350</v>
      </c>
      <c r="G122" s="206"/>
      <c r="H122" s="392"/>
      <c r="I122" s="392"/>
      <c r="J122" s="392"/>
      <c r="K122" s="392"/>
      <c r="L122" s="392"/>
      <c r="M122" s="392"/>
      <c r="N122" s="393"/>
      <c r="O122" s="37"/>
      <c r="P122" s="183"/>
      <c r="Q122" s="196"/>
    </row>
    <row r="123" spans="1:17" ht="39.950000000000003" customHeight="1" thickBot="1" x14ac:dyDescent="0.4">
      <c r="A123" s="227" t="s">
        <v>329</v>
      </c>
      <c r="B123" s="214" t="s">
        <v>92</v>
      </c>
      <c r="C123" s="302"/>
      <c r="D123" s="358"/>
      <c r="E123" s="26"/>
      <c r="F123" s="77" t="s">
        <v>112</v>
      </c>
      <c r="G123" s="206"/>
      <c r="H123" s="394"/>
      <c r="I123" s="394"/>
      <c r="J123" s="394"/>
      <c r="K123" s="394"/>
      <c r="L123" s="394"/>
      <c r="M123" s="394"/>
      <c r="N123" s="395"/>
      <c r="O123" s="37"/>
      <c r="P123" s="183"/>
      <c r="Q123" s="196"/>
    </row>
    <row r="124" spans="1:17" ht="39.950000000000003" customHeight="1" thickBot="1" x14ac:dyDescent="0.4">
      <c r="A124" s="227" t="s">
        <v>330</v>
      </c>
      <c r="B124" s="215" t="s">
        <v>93</v>
      </c>
      <c r="C124" s="303"/>
      <c r="D124" s="359"/>
      <c r="E124" s="27"/>
      <c r="F124" s="75" t="s">
        <v>112</v>
      </c>
      <c r="G124" s="206"/>
      <c r="H124" s="61"/>
      <c r="I124" s="61"/>
      <c r="J124" s="61"/>
      <c r="K124" s="61"/>
      <c r="L124" s="61"/>
      <c r="M124" s="61"/>
      <c r="N124" s="62"/>
      <c r="O124" s="37"/>
      <c r="P124" s="183"/>
      <c r="Q124" s="196"/>
    </row>
    <row r="125" spans="1:17" ht="39.950000000000003" customHeight="1" thickBot="1" x14ac:dyDescent="0.4">
      <c r="A125" s="227"/>
      <c r="B125" s="60" t="s">
        <v>23</v>
      </c>
      <c r="C125" s="61"/>
      <c r="D125" s="357"/>
      <c r="E125" s="61"/>
      <c r="F125" s="61"/>
      <c r="G125" s="207"/>
      <c r="H125" s="390" t="s">
        <v>10</v>
      </c>
      <c r="I125" s="390"/>
      <c r="J125" s="446"/>
      <c r="K125" s="446"/>
      <c r="L125" s="446"/>
      <c r="M125" s="446"/>
      <c r="N125" s="447"/>
      <c r="O125" s="37"/>
      <c r="P125" s="183"/>
      <c r="Q125" s="196"/>
    </row>
    <row r="126" spans="1:17" ht="63" customHeight="1" thickBot="1" x14ac:dyDescent="0.4">
      <c r="A126" s="227" t="s">
        <v>331</v>
      </c>
      <c r="B126" s="181" t="s">
        <v>332</v>
      </c>
      <c r="C126" s="294"/>
      <c r="D126" s="349"/>
      <c r="E126" s="19"/>
      <c r="F126" s="72">
        <v>9520</v>
      </c>
      <c r="G126" s="206"/>
      <c r="H126" s="412"/>
      <c r="I126" s="412"/>
      <c r="J126" s="412"/>
      <c r="K126" s="412"/>
      <c r="L126" s="412"/>
      <c r="M126" s="412"/>
      <c r="N126" s="413"/>
      <c r="O126" s="37"/>
      <c r="P126" s="183"/>
      <c r="Q126" s="196"/>
    </row>
    <row r="127" spans="1:17" ht="63" customHeight="1" thickBot="1" x14ac:dyDescent="0.4">
      <c r="A127" s="227" t="s">
        <v>334</v>
      </c>
      <c r="B127" s="181" t="s">
        <v>333</v>
      </c>
      <c r="C127" s="294"/>
      <c r="D127" s="349"/>
      <c r="E127" s="19"/>
      <c r="F127" s="72">
        <v>6350</v>
      </c>
      <c r="G127" s="206"/>
      <c r="H127" s="412"/>
      <c r="I127" s="412"/>
      <c r="J127" s="412"/>
      <c r="K127" s="412"/>
      <c r="L127" s="412"/>
      <c r="M127" s="412"/>
      <c r="N127" s="413"/>
      <c r="O127" s="37"/>
      <c r="P127" s="183"/>
      <c r="Q127" s="196"/>
    </row>
    <row r="128" spans="1:17" ht="63" customHeight="1" thickBot="1" x14ac:dyDescent="0.4">
      <c r="A128" s="227" t="s">
        <v>335</v>
      </c>
      <c r="B128" s="181" t="s">
        <v>337</v>
      </c>
      <c r="C128" s="294"/>
      <c r="D128" s="349"/>
      <c r="E128" s="19"/>
      <c r="F128" s="72">
        <v>4990</v>
      </c>
      <c r="G128" s="206"/>
      <c r="H128" s="412"/>
      <c r="I128" s="412"/>
      <c r="J128" s="412"/>
      <c r="K128" s="412"/>
      <c r="L128" s="412"/>
      <c r="M128" s="412"/>
      <c r="N128" s="413"/>
      <c r="O128" s="37"/>
      <c r="P128" s="183"/>
      <c r="Q128" s="196"/>
    </row>
    <row r="129" spans="1:17" ht="78.75" customHeight="1" thickBot="1" x14ac:dyDescent="0.4">
      <c r="A129" s="227" t="s">
        <v>336</v>
      </c>
      <c r="B129" s="212" t="s">
        <v>338</v>
      </c>
      <c r="C129" s="300"/>
      <c r="D129" s="355"/>
      <c r="E129" s="15"/>
      <c r="F129" s="72">
        <v>14870</v>
      </c>
      <c r="G129" s="206"/>
      <c r="H129" s="412"/>
      <c r="I129" s="412"/>
      <c r="J129" s="412"/>
      <c r="K129" s="412"/>
      <c r="L129" s="412"/>
      <c r="M129" s="412"/>
      <c r="N129" s="413"/>
      <c r="O129" s="37"/>
      <c r="P129" s="183"/>
      <c r="Q129" s="196"/>
    </row>
    <row r="130" spans="1:17" ht="63" customHeight="1" thickBot="1" x14ac:dyDescent="0.4">
      <c r="A130" s="227" t="s">
        <v>339</v>
      </c>
      <c r="B130" s="181" t="s">
        <v>60</v>
      </c>
      <c r="C130" s="294"/>
      <c r="D130" s="349"/>
      <c r="E130" s="19"/>
      <c r="F130" s="72">
        <v>9990</v>
      </c>
      <c r="G130" s="206"/>
      <c r="H130" s="444"/>
      <c r="I130" s="444"/>
      <c r="J130" s="444"/>
      <c r="K130" s="444"/>
      <c r="L130" s="444"/>
      <c r="M130" s="444"/>
      <c r="N130" s="445"/>
      <c r="O130" s="37"/>
      <c r="P130" s="183"/>
      <c r="Q130" s="196"/>
    </row>
    <row r="131" spans="1:17" ht="63" customHeight="1" thickBot="1" x14ac:dyDescent="0.4">
      <c r="A131" s="227" t="s">
        <v>340</v>
      </c>
      <c r="B131" s="216" t="s">
        <v>61</v>
      </c>
      <c r="C131" s="305"/>
      <c r="D131" s="361"/>
      <c r="E131" s="18"/>
      <c r="F131" s="76">
        <v>12940</v>
      </c>
      <c r="G131" s="206"/>
      <c r="H131" s="61"/>
      <c r="I131" s="61"/>
      <c r="J131" s="61"/>
      <c r="K131" s="61"/>
      <c r="L131" s="61"/>
      <c r="M131" s="61"/>
      <c r="N131" s="62"/>
      <c r="O131" s="37"/>
      <c r="P131" s="183"/>
      <c r="Q131" s="196"/>
    </row>
    <row r="132" spans="1:17" ht="39.950000000000003" customHeight="1" thickBot="1" x14ac:dyDescent="0.4">
      <c r="A132" s="227" t="s">
        <v>341</v>
      </c>
      <c r="B132" s="149" t="s">
        <v>143</v>
      </c>
      <c r="C132" s="278"/>
      <c r="D132" s="333"/>
      <c r="E132" s="209"/>
      <c r="F132" s="206">
        <v>6820</v>
      </c>
      <c r="G132" s="206"/>
      <c r="H132" s="207"/>
      <c r="I132" s="207"/>
      <c r="J132" s="207"/>
      <c r="K132" s="207"/>
      <c r="L132" s="207"/>
      <c r="M132" s="207"/>
      <c r="N132" s="208"/>
      <c r="O132" s="37"/>
      <c r="P132" s="183"/>
      <c r="Q132" s="196"/>
    </row>
    <row r="133" spans="1:17" ht="39.950000000000003" customHeight="1" thickBot="1" x14ac:dyDescent="0.4">
      <c r="A133" s="227"/>
      <c r="B133" s="149" t="s">
        <v>144</v>
      </c>
      <c r="C133" s="278"/>
      <c r="D133" s="333"/>
      <c r="E133" s="209"/>
      <c r="F133" s="206">
        <v>6200</v>
      </c>
      <c r="G133" s="206"/>
      <c r="H133" s="207"/>
      <c r="I133" s="207"/>
      <c r="J133" s="207"/>
      <c r="K133" s="207"/>
      <c r="L133" s="207"/>
      <c r="M133" s="207"/>
      <c r="N133" s="208"/>
      <c r="O133" s="37"/>
      <c r="P133" s="183"/>
      <c r="Q133" s="196"/>
    </row>
    <row r="134" spans="1:17" ht="45.75" customHeight="1" thickBot="1" x14ac:dyDescent="0.4">
      <c r="A134" s="227"/>
      <c r="B134" s="60" t="s">
        <v>11</v>
      </c>
      <c r="C134" s="61"/>
      <c r="D134" s="357"/>
      <c r="E134" s="61"/>
      <c r="F134" s="61"/>
      <c r="G134" s="207"/>
      <c r="H134" s="390" t="s">
        <v>10</v>
      </c>
      <c r="I134" s="390"/>
      <c r="J134" s="390"/>
      <c r="K134" s="390"/>
      <c r="L134" s="390"/>
      <c r="M134" s="390"/>
      <c r="N134" s="391"/>
      <c r="O134" s="37"/>
      <c r="P134" s="183"/>
      <c r="Q134" s="196"/>
    </row>
    <row r="135" spans="1:17" ht="36.75" customHeight="1" thickBot="1" x14ac:dyDescent="0.4">
      <c r="A135" s="227" t="s">
        <v>343</v>
      </c>
      <c r="B135" s="4" t="s">
        <v>78</v>
      </c>
      <c r="C135" s="306"/>
      <c r="D135" s="362"/>
      <c r="E135" s="15"/>
      <c r="F135" s="72" t="s">
        <v>112</v>
      </c>
      <c r="G135" s="206"/>
      <c r="H135" s="444"/>
      <c r="I135" s="444"/>
      <c r="J135" s="444"/>
      <c r="K135" s="444"/>
      <c r="L135" s="444"/>
      <c r="M135" s="444"/>
      <c r="N135" s="445"/>
      <c r="O135" s="37"/>
      <c r="P135" s="183"/>
      <c r="Q135" s="196"/>
    </row>
    <row r="136" spans="1:17" ht="39.950000000000003" customHeight="1" thickBot="1" x14ac:dyDescent="0.4">
      <c r="A136" s="227" t="s">
        <v>342</v>
      </c>
      <c r="B136" s="8" t="s">
        <v>79</v>
      </c>
      <c r="C136" s="307"/>
      <c r="D136" s="363"/>
      <c r="E136" s="25"/>
      <c r="F136" s="76" t="s">
        <v>112</v>
      </c>
      <c r="G136" s="206"/>
      <c r="H136" s="61"/>
      <c r="I136" s="61"/>
      <c r="J136" s="61"/>
      <c r="K136" s="61"/>
      <c r="L136" s="61"/>
      <c r="M136" s="61"/>
      <c r="N136" s="62"/>
      <c r="O136" s="37"/>
      <c r="P136" s="183"/>
      <c r="Q136" s="196"/>
    </row>
    <row r="137" spans="1:17" ht="60" customHeight="1" thickBot="1" x14ac:dyDescent="0.4">
      <c r="A137" s="227"/>
      <c r="B137" s="60" t="s">
        <v>12</v>
      </c>
      <c r="C137" s="61"/>
      <c r="D137" s="357"/>
      <c r="E137" s="61"/>
      <c r="F137" s="61"/>
      <c r="G137" s="207"/>
      <c r="H137" s="390" t="s">
        <v>10</v>
      </c>
      <c r="I137" s="390"/>
      <c r="J137" s="390"/>
      <c r="K137" s="390"/>
      <c r="L137" s="390"/>
      <c r="M137" s="390"/>
      <c r="N137" s="391"/>
      <c r="O137" s="37"/>
      <c r="P137" s="183"/>
      <c r="Q137" s="196"/>
    </row>
    <row r="138" spans="1:17" ht="60" customHeight="1" thickBot="1" x14ac:dyDescent="0.4">
      <c r="A138" s="227" t="s">
        <v>344</v>
      </c>
      <c r="B138" s="4" t="s">
        <v>346</v>
      </c>
      <c r="C138" s="306"/>
      <c r="D138" s="362"/>
      <c r="E138" s="15"/>
      <c r="F138" s="72">
        <v>2230</v>
      </c>
      <c r="G138" s="206"/>
      <c r="H138" s="412"/>
      <c r="I138" s="412"/>
      <c r="J138" s="412"/>
      <c r="K138" s="412"/>
      <c r="L138" s="412"/>
      <c r="M138" s="412"/>
      <c r="N138" s="413"/>
      <c r="O138" s="37"/>
      <c r="P138" s="183"/>
      <c r="Q138" s="196"/>
    </row>
    <row r="139" spans="1:17" ht="60" customHeight="1" thickBot="1" x14ac:dyDescent="0.4">
      <c r="A139" s="227" t="s">
        <v>347</v>
      </c>
      <c r="B139" s="5" t="s">
        <v>345</v>
      </c>
      <c r="C139" s="288"/>
      <c r="D139" s="343"/>
      <c r="E139" s="16"/>
      <c r="F139" s="381"/>
      <c r="G139" s="206"/>
      <c r="H139" s="412"/>
      <c r="I139" s="412"/>
      <c r="J139" s="412"/>
      <c r="K139" s="412"/>
      <c r="L139" s="412"/>
      <c r="M139" s="412"/>
      <c r="N139" s="413"/>
      <c r="O139" s="37"/>
      <c r="P139" s="183"/>
      <c r="Q139" s="196"/>
    </row>
    <row r="140" spans="1:17" ht="60" customHeight="1" thickBot="1" x14ac:dyDescent="0.4">
      <c r="A140" s="227"/>
      <c r="B140" s="7" t="s">
        <v>48</v>
      </c>
      <c r="C140" s="308"/>
      <c r="D140" s="364"/>
      <c r="E140" s="23"/>
      <c r="F140" s="73">
        <v>960</v>
      </c>
      <c r="G140" s="206"/>
      <c r="H140" s="414"/>
      <c r="I140" s="414"/>
      <c r="J140" s="414"/>
      <c r="K140" s="414"/>
      <c r="L140" s="414"/>
      <c r="M140" s="414"/>
      <c r="N140" s="415"/>
      <c r="O140" s="37"/>
      <c r="P140" s="183"/>
      <c r="Q140" s="196"/>
    </row>
    <row r="141" spans="1:17" ht="60" customHeight="1" thickBot="1" x14ac:dyDescent="0.4">
      <c r="A141" s="227"/>
      <c r="B141" s="9" t="s">
        <v>47</v>
      </c>
      <c r="C141" s="309"/>
      <c r="D141" s="365"/>
      <c r="E141" s="24"/>
      <c r="F141" s="74">
        <v>290</v>
      </c>
      <c r="G141" s="241"/>
      <c r="H141" s="67"/>
      <c r="I141" s="67"/>
      <c r="J141" s="67"/>
      <c r="K141" s="67"/>
      <c r="L141" s="67"/>
      <c r="M141" s="67"/>
      <c r="N141" s="68"/>
      <c r="O141" s="37"/>
      <c r="P141" s="183"/>
      <c r="Q141" s="196"/>
    </row>
    <row r="142" spans="1:17" ht="60" customHeight="1" thickBot="1" x14ac:dyDescent="0.4">
      <c r="A142" s="227"/>
      <c r="B142" s="3" t="s">
        <v>80</v>
      </c>
      <c r="C142" s="310"/>
      <c r="D142" s="366"/>
      <c r="E142" s="28"/>
      <c r="F142" s="67"/>
      <c r="G142" s="246"/>
      <c r="H142" s="65"/>
      <c r="I142" s="65"/>
      <c r="J142" s="65"/>
      <c r="K142" s="65"/>
      <c r="L142" s="65"/>
      <c r="M142" s="65"/>
      <c r="N142" s="66"/>
      <c r="O142" s="37"/>
      <c r="P142" s="183"/>
      <c r="Q142" s="196"/>
    </row>
    <row r="143" spans="1:17" ht="60" customHeight="1" thickBot="1" x14ac:dyDescent="0.4">
      <c r="A143" s="227"/>
      <c r="B143" s="10" t="s">
        <v>58</v>
      </c>
      <c r="C143" s="311"/>
      <c r="D143" s="367"/>
      <c r="E143" s="29"/>
      <c r="F143" s="65"/>
      <c r="G143" s="247"/>
      <c r="H143" s="440" t="s">
        <v>10</v>
      </c>
      <c r="I143" s="440"/>
      <c r="J143" s="440"/>
      <c r="K143" s="440"/>
      <c r="L143" s="440"/>
      <c r="M143" s="440"/>
      <c r="N143" s="441"/>
      <c r="O143" s="37"/>
      <c r="P143" s="183"/>
      <c r="Q143" s="196"/>
    </row>
    <row r="144" spans="1:17" ht="60" customHeight="1" thickBot="1" x14ac:dyDescent="0.4">
      <c r="A144" s="227" t="s">
        <v>348</v>
      </c>
      <c r="B144" s="11" t="s">
        <v>51</v>
      </c>
      <c r="C144" s="312"/>
      <c r="D144" s="368"/>
      <c r="E144" s="30"/>
      <c r="F144" s="78">
        <v>3990</v>
      </c>
      <c r="G144" s="206"/>
      <c r="H144" s="392"/>
      <c r="I144" s="392"/>
      <c r="J144" s="392"/>
      <c r="K144" s="392"/>
      <c r="L144" s="392"/>
      <c r="M144" s="392"/>
      <c r="N144" s="393"/>
      <c r="O144" s="37"/>
      <c r="P144" s="183"/>
      <c r="Q144" s="196"/>
    </row>
    <row r="145" spans="1:17" ht="60" customHeight="1" thickBot="1" x14ac:dyDescent="0.4">
      <c r="A145" s="227" t="s">
        <v>349</v>
      </c>
      <c r="B145" s="12" t="s">
        <v>54</v>
      </c>
      <c r="C145" s="313"/>
      <c r="D145" s="369"/>
      <c r="E145" s="31"/>
      <c r="F145" s="78">
        <v>360</v>
      </c>
      <c r="G145" s="206"/>
      <c r="H145" s="442"/>
      <c r="I145" s="442"/>
      <c r="J145" s="442"/>
      <c r="K145" s="442"/>
      <c r="L145" s="442"/>
      <c r="M145" s="442"/>
      <c r="N145" s="443"/>
      <c r="O145" s="37"/>
      <c r="P145" s="183"/>
      <c r="Q145" s="196"/>
    </row>
    <row r="146" spans="1:17" ht="60" customHeight="1" thickBot="1" x14ac:dyDescent="0.4">
      <c r="A146" s="227" t="s">
        <v>350</v>
      </c>
      <c r="B146" s="9" t="s">
        <v>52</v>
      </c>
      <c r="C146" s="309"/>
      <c r="D146" s="365"/>
      <c r="E146" s="24"/>
      <c r="F146" s="74">
        <v>200</v>
      </c>
      <c r="G146" s="206"/>
      <c r="H146" s="63"/>
      <c r="I146" s="63"/>
      <c r="J146" s="63"/>
      <c r="K146" s="63"/>
      <c r="L146" s="63"/>
      <c r="M146" s="63"/>
      <c r="N146" s="64"/>
      <c r="O146" s="37"/>
      <c r="P146" s="183"/>
      <c r="Q146" s="196"/>
    </row>
    <row r="147" spans="1:17" ht="60" customHeight="1" thickBot="1" x14ac:dyDescent="0.35">
      <c r="B147" s="10" t="s">
        <v>57</v>
      </c>
      <c r="C147" s="311"/>
      <c r="D147" s="367"/>
      <c r="E147" s="29"/>
      <c r="F147" s="63"/>
      <c r="G147" s="248"/>
      <c r="H147" s="440" t="s">
        <v>10</v>
      </c>
      <c r="I147" s="440"/>
      <c r="J147" s="440"/>
      <c r="K147" s="440"/>
      <c r="L147" s="440"/>
      <c r="M147" s="440"/>
      <c r="N147" s="441"/>
      <c r="O147" s="37"/>
      <c r="P147" s="183"/>
      <c r="Q147" s="196"/>
    </row>
    <row r="148" spans="1:17" ht="60" customHeight="1" thickBot="1" x14ac:dyDescent="0.4">
      <c r="A148" s="227" t="s">
        <v>351</v>
      </c>
      <c r="B148" s="11" t="s">
        <v>51</v>
      </c>
      <c r="C148" s="312"/>
      <c r="D148" s="368"/>
      <c r="E148" s="30"/>
      <c r="F148" s="78">
        <v>2980</v>
      </c>
      <c r="G148" s="206"/>
      <c r="H148" s="392"/>
      <c r="I148" s="392"/>
      <c r="J148" s="392"/>
      <c r="K148" s="392"/>
      <c r="L148" s="392"/>
      <c r="M148" s="392"/>
      <c r="N148" s="393"/>
      <c r="O148" s="37"/>
      <c r="P148" s="183"/>
      <c r="Q148" s="196"/>
    </row>
    <row r="149" spans="1:17" ht="60" customHeight="1" thickBot="1" x14ac:dyDescent="0.4">
      <c r="A149" s="227" t="s">
        <v>349</v>
      </c>
      <c r="B149" s="12" t="s">
        <v>49</v>
      </c>
      <c r="C149" s="313"/>
      <c r="D149" s="369"/>
      <c r="E149" s="31"/>
      <c r="F149" s="78">
        <v>360</v>
      </c>
      <c r="G149" s="206"/>
      <c r="H149" s="442"/>
      <c r="I149" s="442"/>
      <c r="J149" s="442"/>
      <c r="K149" s="442"/>
      <c r="L149" s="442"/>
      <c r="M149" s="442"/>
      <c r="N149" s="443"/>
      <c r="O149" s="37"/>
      <c r="P149" s="183"/>
      <c r="Q149" s="196"/>
    </row>
    <row r="150" spans="1:17" ht="60" customHeight="1" thickBot="1" x14ac:dyDescent="0.4">
      <c r="A150" s="227" t="s">
        <v>350</v>
      </c>
      <c r="B150" s="9" t="s">
        <v>50</v>
      </c>
      <c r="C150" s="309"/>
      <c r="D150" s="365"/>
      <c r="E150" s="24"/>
      <c r="F150" s="74">
        <v>200</v>
      </c>
      <c r="G150" s="206"/>
      <c r="H150" s="63"/>
      <c r="I150" s="63"/>
      <c r="J150" s="63"/>
      <c r="K150" s="63"/>
      <c r="L150" s="63"/>
      <c r="M150" s="63"/>
      <c r="N150" s="64"/>
      <c r="O150" s="37"/>
      <c r="P150" s="183"/>
      <c r="Q150" s="196"/>
    </row>
    <row r="151" spans="1:17" ht="60" customHeight="1" thickBot="1" x14ac:dyDescent="0.4">
      <c r="A151" s="227"/>
      <c r="B151" s="10" t="s">
        <v>56</v>
      </c>
      <c r="C151" s="311"/>
      <c r="D151" s="367"/>
      <c r="E151" s="29"/>
      <c r="F151" s="63"/>
      <c r="G151" s="248"/>
      <c r="H151" s="440" t="s">
        <v>10</v>
      </c>
      <c r="I151" s="440"/>
      <c r="J151" s="440"/>
      <c r="K151" s="440"/>
      <c r="L151" s="440"/>
      <c r="M151" s="440"/>
      <c r="N151" s="441"/>
      <c r="O151" s="37"/>
      <c r="P151" s="183"/>
      <c r="Q151" s="196"/>
    </row>
    <row r="152" spans="1:17" ht="60" customHeight="1" thickBot="1" x14ac:dyDescent="0.4">
      <c r="A152" s="227" t="s">
        <v>352</v>
      </c>
      <c r="B152" s="11" t="s">
        <v>53</v>
      </c>
      <c r="C152" s="312"/>
      <c r="D152" s="368"/>
      <c r="E152" s="30"/>
      <c r="F152" s="78">
        <v>1880</v>
      </c>
      <c r="G152" s="206"/>
      <c r="H152" s="392"/>
      <c r="I152" s="392"/>
      <c r="J152" s="392"/>
      <c r="K152" s="392"/>
      <c r="L152" s="392"/>
      <c r="M152" s="392"/>
      <c r="N152" s="393"/>
      <c r="O152" s="37"/>
      <c r="P152" s="183"/>
      <c r="Q152" s="196"/>
    </row>
    <row r="153" spans="1:17" ht="60" customHeight="1" thickBot="1" x14ac:dyDescent="0.4">
      <c r="A153" s="227" t="s">
        <v>349</v>
      </c>
      <c r="B153" s="12" t="s">
        <v>54</v>
      </c>
      <c r="C153" s="313"/>
      <c r="D153" s="369"/>
      <c r="E153" s="31"/>
      <c r="F153" s="78">
        <v>360</v>
      </c>
      <c r="G153" s="206"/>
      <c r="H153" s="394"/>
      <c r="I153" s="394"/>
      <c r="J153" s="394"/>
      <c r="K153" s="394"/>
      <c r="L153" s="394"/>
      <c r="M153" s="394"/>
      <c r="N153" s="395"/>
      <c r="O153" s="37"/>
      <c r="P153" s="183"/>
      <c r="Q153" s="196"/>
    </row>
    <row r="154" spans="1:17" ht="60" customHeight="1" thickBot="1" x14ac:dyDescent="0.4">
      <c r="A154" s="227" t="s">
        <v>350</v>
      </c>
      <c r="B154" s="13" t="s">
        <v>50</v>
      </c>
      <c r="C154" s="314"/>
      <c r="D154" s="370"/>
      <c r="E154" s="27"/>
      <c r="F154" s="75">
        <v>200</v>
      </c>
      <c r="G154" s="206"/>
      <c r="H154" s="61"/>
      <c r="I154" s="61"/>
      <c r="J154" s="61"/>
      <c r="K154" s="61"/>
      <c r="L154" s="61"/>
      <c r="M154" s="61"/>
      <c r="N154" s="62"/>
      <c r="O154" s="37"/>
      <c r="P154" s="183"/>
      <c r="Q154" s="196"/>
    </row>
    <row r="155" spans="1:17" ht="60" customHeight="1" thickBot="1" x14ac:dyDescent="0.4">
      <c r="A155" s="227"/>
      <c r="B155" s="60" t="s">
        <v>13</v>
      </c>
      <c r="C155" s="61"/>
      <c r="D155" s="357"/>
      <c r="E155" s="61"/>
      <c r="F155" s="61"/>
      <c r="G155" s="207"/>
      <c r="H155" s="436" t="s">
        <v>10</v>
      </c>
      <c r="I155" s="436"/>
      <c r="J155" s="437"/>
      <c r="K155" s="437"/>
      <c r="L155" s="437"/>
      <c r="M155" s="438"/>
      <c r="N155" s="439"/>
      <c r="O155" s="37"/>
      <c r="P155" s="183"/>
      <c r="Q155" s="196"/>
    </row>
    <row r="156" spans="1:17" ht="60" customHeight="1" thickBot="1" x14ac:dyDescent="0.4">
      <c r="A156" s="227" t="s">
        <v>353</v>
      </c>
      <c r="B156" s="8" t="s">
        <v>33</v>
      </c>
      <c r="C156" s="307"/>
      <c r="D156" s="363"/>
      <c r="E156" s="25"/>
      <c r="F156" s="70" t="s">
        <v>17</v>
      </c>
      <c r="G156" s="249"/>
      <c r="Q156" s="201"/>
    </row>
  </sheetData>
  <mergeCells count="43">
    <mergeCell ref="H78:N78"/>
    <mergeCell ref="B71:N71"/>
    <mergeCell ref="B19:B20"/>
    <mergeCell ref="H19:N19"/>
    <mergeCell ref="B31:B32"/>
    <mergeCell ref="E3:E4"/>
    <mergeCell ref="E19:E20"/>
    <mergeCell ref="E31:E32"/>
    <mergeCell ref="E42:E43"/>
    <mergeCell ref="E72:E73"/>
    <mergeCell ref="B18:N18"/>
    <mergeCell ref="H31:N31"/>
    <mergeCell ref="B42:B43"/>
    <mergeCell ref="H42:N42"/>
    <mergeCell ref="H72:N72"/>
    <mergeCell ref="H60:N70"/>
    <mergeCell ref="B72:B73"/>
    <mergeCell ref="F42:F43"/>
    <mergeCell ref="F72:F73"/>
    <mergeCell ref="B87:N87"/>
    <mergeCell ref="H155:N155"/>
    <mergeCell ref="H143:N145"/>
    <mergeCell ref="H147:N149"/>
    <mergeCell ref="H151:N153"/>
    <mergeCell ref="H137:N140"/>
    <mergeCell ref="H134:N135"/>
    <mergeCell ref="H125:N130"/>
    <mergeCell ref="B1:N1"/>
    <mergeCell ref="B2:N2"/>
    <mergeCell ref="H116:N123"/>
    <mergeCell ref="H82:N82"/>
    <mergeCell ref="B30:N30"/>
    <mergeCell ref="B41:N41"/>
    <mergeCell ref="H92:N97"/>
    <mergeCell ref="H109:N114"/>
    <mergeCell ref="H74:N76"/>
    <mergeCell ref="B59:N59"/>
    <mergeCell ref="H3:N3"/>
    <mergeCell ref="B3:B4"/>
    <mergeCell ref="H88:N91"/>
    <mergeCell ref="F3:F4"/>
    <mergeCell ref="F19:F20"/>
    <mergeCell ref="F31:F32"/>
  </mergeCells>
  <printOptions horizontalCentered="1" verticalCentered="1"/>
  <pageMargins left="0.25" right="0.25" top="0.75" bottom="0.75" header="0.3" footer="0.3"/>
  <pageSetup scale="6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Equipment Price List</vt:lpstr>
      <vt:lpstr>'Equipment Price 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Ford</dc:creator>
  <cp:lastModifiedBy>Kyle Boyce</cp:lastModifiedBy>
  <cp:lastPrinted>2025-07-24T13:25:35Z</cp:lastPrinted>
  <dcterms:created xsi:type="dcterms:W3CDTF">2020-12-07T16:39:35Z</dcterms:created>
  <dcterms:modified xsi:type="dcterms:W3CDTF">2025-08-11T11:56:21Z</dcterms:modified>
</cp:coreProperties>
</file>